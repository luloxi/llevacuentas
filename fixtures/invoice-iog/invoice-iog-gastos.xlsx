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es" sheetId="1" state="visible" r:id="rId3"/>
    <sheet name="Gastos" sheetId="2" state="visible" r:id="rId4"/>
    <sheet name="Criterio" sheetId="3" state="visible" r:id="rId5"/>
  </sheets>
  <definedNames>
    <definedName function="false" hidden="false" localSheetId="1" name="_xlnm.Print_Titles" vbProcedure="false">Gastos!$1:$5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<sst xmlns="http://schemas.openxmlformats.org/spreadsheetml/2006/main" count="606" uniqueCount="143">
  <si>
    <t xml:space="preserve">Totales · reintegro Luciano v3</t>
  </si>
  <si>
    <t xml:space="preserve">7 de septiembre de 2026. Sin diciembre futuro. Celdas amarillas editables.</t>
  </si>
  <si>
    <t xml:space="preserve">Supuestos</t>
  </si>
  <si>
    <t xml:space="preserve">Concepto</t>
  </si>
  <si>
    <t xml:space="preserve">Valor</t>
  </si>
  <si>
    <t xml:space="preserve">Nota</t>
  </si>
  <si>
    <t xml:space="preserve">Adelanto recibido (ARS)</t>
  </si>
  <si>
    <t xml:space="preserve">Pago en pesos hace tres meses.</t>
  </si>
  <si>
    <t xml:space="preserve">TC liquidación · compra oficial</t>
  </si>
  <si>
    <t xml:space="preserve">Cierre Nación 4 sep 2026.</t>
  </si>
  <si>
    <t xml:space="preserve">TC adelanto · compra BBVA 5 jun 2026</t>
  </si>
  <si>
    <t xml:space="preserve">Punta compra BBVA.</t>
  </si>
  <si>
    <t xml:space="preserve">Resultado</t>
  </si>
  <si>
    <t xml:space="preserve">USD</t>
  </si>
  <si>
    <t xml:space="preserve">ARS</t>
  </si>
  <si>
    <t xml:space="preserve">Total gastos</t>
  </si>
  <si>
    <t xml:space="preserve">Adelanto recibido</t>
  </si>
  <si>
    <t xml:space="preserve">Saldo a devolver</t>
  </si>
  <si>
    <t xml:space="preserve">Por mes</t>
  </si>
  <si>
    <t xml:space="preserve">Mes</t>
  </si>
  <si>
    <t xml:space="preserve">Ítems</t>
  </si>
  <si>
    <t xml:space="preserve">ARS liquidación</t>
  </si>
  <si>
    <t xml:space="preserve">Enero 2026</t>
  </si>
  <si>
    <t xml:space="preserve">Febrero 2026</t>
  </si>
  <si>
    <t xml:space="preserve">Marzo 2026</t>
  </si>
  <si>
    <t xml:space="preserve">Abril 2026</t>
  </si>
  <si>
    <t xml:space="preserve">Mayo 2026</t>
  </si>
  <si>
    <t xml:space="preserve">Junio 2026</t>
  </si>
  <si>
    <t xml:space="preserve">Julio 2026</t>
  </si>
  <si>
    <t xml:space="preserve">Agosto 2026</t>
  </si>
  <si>
    <t xml:space="preserve">Septiembre 2026</t>
  </si>
  <si>
    <t xml:space="preserve">Total</t>
  </si>
  <si>
    <t xml:space="preserve">Qué se sumó de este extracto y qué no</t>
  </si>
  <si>
    <t xml:space="preserve">Sumado: Grok XAI 12/08 98,17 USDC (el cargo de ~100). Uber 13/08 (4,65 y 4,40 USDC), 15/08 7,42 USDC y 31/08 ARS 5.971. DiDi 6/08 neto ARS 18.050. Se sacó el SuperGrok fechado en diciembre 2026. DigitalOcean 1/09 ya estaba. No hay YouTube. Google One, Spotify, Disney, Rappi, súper, Farmacity, Steam, YPF, grow, Cann-Be, transferencias a personas, conversiones cripto y pares pago+devolución de Railway/DO/Uber/DiDi no entran.</t>
  </si>
  <si>
    <t xml:space="preserve">Gastos de Luciano · v3 · 7 septiembre 2026</t>
  </si>
  <si>
    <t xml:space="preserve">Sin fechas de diciembre 2026. Altas verdes desde extracto Mercado Pago. No incluye consumo personal.</t>
  </si>
  <si>
    <t xml:space="preserve">N</t>
  </si>
  <si>
    <t xml:space="preserve">Fecha</t>
  </si>
  <si>
    <t xml:space="preserve">Invoice / origen</t>
  </si>
  <si>
    <t xml:space="preserve">Descripción</t>
  </si>
  <si>
    <t xml:space="preserve">Rubro</t>
  </si>
  <si>
    <t xml:space="preserve">Moneda</t>
  </si>
  <si>
    <t xml:space="preserve">Importe original</t>
  </si>
  <si>
    <t xml:space="preserve">TC</t>
  </si>
  <si>
    <t xml:space="preserve">ARS pagados</t>
  </si>
  <si>
    <t xml:space="preserve">ARS al TC liquidación</t>
  </si>
  <si>
    <t xml:space="preserve">Fuente</t>
  </si>
  <si>
    <t xml:space="preserve">2026-01</t>
  </si>
  <si>
    <t xml:space="preserve">Invoice 0028</t>
  </si>
  <si>
    <t xml:space="preserve">A.I. Tools - ChatGPT Plus subscription</t>
  </si>
  <si>
    <t xml:space="preserve">Herramientas AI</t>
  </si>
  <si>
    <t xml:space="preserve">Planilla Invoices de Luciano</t>
  </si>
  <si>
    <t xml:space="preserve">Invoice 0027</t>
  </si>
  <si>
    <t xml:space="preserve">A.I. Tools - Digital Ocean usage charge</t>
  </si>
  <si>
    <t xml:space="preserve">Cloud storage for internal app</t>
  </si>
  <si>
    <t xml:space="preserve">Infra y cloud</t>
  </si>
  <si>
    <t xml:space="preserve">Invoice 0037</t>
  </si>
  <si>
    <t xml:space="preserve">DigitalOcean</t>
  </si>
  <si>
    <t xml:space="preserve">A.I. Tools - Cursor Pro subscription</t>
  </si>
  <si>
    <t xml:space="preserve">A.I. Tools - OpenAI API usage credit #1</t>
  </si>
  <si>
    <t xml:space="preserve">A.I. Tools - OpenAI API usage credit #2</t>
  </si>
  <si>
    <t xml:space="preserve">A.I. Tools - Claude Pro subscription</t>
  </si>
  <si>
    <t xml:space="preserve">2026-02</t>
  </si>
  <si>
    <t xml:space="preserve">Railway Hobby plan</t>
  </si>
  <si>
    <t xml:space="preserve">Railway Pro plan</t>
  </si>
  <si>
    <t xml:space="preserve">Vercel Pro plan</t>
  </si>
  <si>
    <t xml:space="preserve">A.I. Tools - OpenAI API credit usage</t>
  </si>
  <si>
    <t xml:space="preserve">2026-03</t>
  </si>
  <si>
    <t xml:space="preserve">Google Cloud usage</t>
  </si>
  <si>
    <t xml:space="preserve">Railway usage for internal apps</t>
  </si>
  <si>
    <t xml:space="preserve">Vercel usage for internal apps</t>
  </si>
  <si>
    <t xml:space="preserve">TapTools API service</t>
  </si>
  <si>
    <t xml:space="preserve">Consumptions at the hotel - Buidler Fest</t>
  </si>
  <si>
    <t xml:space="preserve">Eventos y extras</t>
  </si>
  <si>
    <t xml:space="preserve">2026-04</t>
  </si>
  <si>
    <t xml:space="preserve">A.I. Tools - Claude Pro plan</t>
  </si>
  <si>
    <t xml:space="preserve">Invoice 0030</t>
  </si>
  <si>
    <t xml:space="preserve">Digital Ocean subscription</t>
  </si>
  <si>
    <t xml:space="preserve">Vercel usage for internal app</t>
  </si>
  <si>
    <t xml:space="preserve">Uber</t>
  </si>
  <si>
    <t xml:space="preserve">Movilidad</t>
  </si>
  <si>
    <t xml:space="preserve">Uber during Escobar workshop</t>
  </si>
  <si>
    <t xml:space="preserve">Uber from the office</t>
  </si>
  <si>
    <t xml:space="preserve">Uber to the office</t>
  </si>
  <si>
    <t xml:space="preserve">Uber to bring merchandise to the office (return) - Universities Day</t>
  </si>
  <si>
    <t xml:space="preserve">Uber to bring merchandise to the office - Universities Day</t>
  </si>
  <si>
    <t xml:space="preserve">Uber to Escobar workshop</t>
  </si>
  <si>
    <t xml:space="preserve">Late Uber from the office</t>
  </si>
  <si>
    <t xml:space="preserve">2026-05</t>
  </si>
  <si>
    <t xml:space="preserve">Railway subscription</t>
  </si>
  <si>
    <t xml:space="preserve">Uber to the office for Product Day event (rainy Saturday)</t>
  </si>
  <si>
    <t xml:space="preserve">Invoice 0036</t>
  </si>
  <si>
    <t xml:space="preserve">Late return from office Uber trip</t>
  </si>
  <si>
    <t xml:space="preserve">Vercel Subscription</t>
  </si>
  <si>
    <t xml:space="preserve">A.I. tools - paper.design subscription</t>
  </si>
  <si>
    <t xml:space="preserve">Paper Pro</t>
  </si>
  <si>
    <t xml:space="preserve">Claude Pro</t>
  </si>
  <si>
    <t xml:space="preserve">2026-06</t>
  </si>
  <si>
    <t xml:space="preserve">DigitalOcean service</t>
  </si>
  <si>
    <t xml:space="preserve">Hardware - WiFi adapter</t>
  </si>
  <si>
    <t xml:space="preserve">Hardware</t>
  </si>
  <si>
    <t xml:space="preserve">OpenAI API usage credit</t>
  </si>
  <si>
    <t xml:space="preserve">Getting hardware return UberX trip</t>
  </si>
  <si>
    <t xml:space="preserve">Getting hardware Uber trip</t>
  </si>
  <si>
    <t xml:space="preserve">Welcome souvenir from La Casa del Dulce de Leche</t>
  </si>
  <si>
    <t xml:space="preserve">Vercel Pro</t>
  </si>
  <si>
    <t xml:space="preserve">Late return from office DiDi travel</t>
  </si>
  <si>
    <t xml:space="preserve">2026-07</t>
  </si>
  <si>
    <t xml:space="preserve">Post-corte · resumen BBVA</t>
  </si>
  <si>
    <t xml:space="preserve">Resumen BBVA ****8958 01/07/2026</t>
  </si>
  <si>
    <t xml:space="preserve">Resumen BBVA ****8958 04/07/2026</t>
  </si>
  <si>
    <t xml:space="preserve">Uber trip</t>
  </si>
  <si>
    <t xml:space="preserve">SuperGrok (cargo tarjeta 12/07; estaba fechado 2026.12.06 en la planilla)</t>
  </si>
  <si>
    <t xml:space="preserve">Planilla Invoices 0037 + resumen BBVA ****8958</t>
  </si>
  <si>
    <t xml:space="preserve">Uber ride</t>
  </si>
  <si>
    <t xml:space="preserve">Viaje Uber</t>
  </si>
  <si>
    <t xml:space="preserve">Viaje en Uber</t>
  </si>
  <si>
    <t xml:space="preserve">PAYU*AR*UBER (resumen BBVA ****8958)</t>
  </si>
  <si>
    <t xml:space="preserve">Resumen BBVA movimientos del período · tarjeta ****8958</t>
  </si>
  <si>
    <t xml:space="preserve">UberX Olavarría 754 → Torre Alem Plaza (ticket)</t>
  </si>
  <si>
    <t xml:space="preserve">Comprobante Uber Visa ****8958</t>
  </si>
  <si>
    <t xml:space="preserve">2026-08</t>
  </si>
  <si>
    <t xml:space="preserve">Resumen BBVA ****8958 01/08/2026</t>
  </si>
  <si>
    <t xml:space="preserve">Grok / SuperGrok (GROK XAI)</t>
  </si>
  <si>
    <t xml:space="preserve">Resumen BBVA ****8958 04/08/2026</t>
  </si>
  <si>
    <t xml:space="preserve">Post-corte · Mercado Pago</t>
  </si>
  <si>
    <t xml:space="preserve">DiDi (neto del día, sin pares revertidos)</t>
  </si>
  <si>
    <t xml:space="preserve">Extracto MP 06/08: -17.200 y -850; se excluyen -3.800, -7.100 y -30 por devolución igual</t>
  </si>
  <si>
    <t xml:space="preserve">UberX Bolívar 120 → Torre Alem Plaza (ticket)</t>
  </si>
  <si>
    <t xml:space="preserve">Grok XAI / SuperGrok</t>
  </si>
  <si>
    <t xml:space="preserve">USDC</t>
  </si>
  <si>
    <t xml:space="preserve">Extracto MP 12/08/2026 · Pago a GROK XAI</t>
  </si>
  <si>
    <t xml:space="preserve">PAYU*AR*UBER</t>
  </si>
  <si>
    <t xml:space="preserve">Extracto MP 13/08/2026</t>
  </si>
  <si>
    <t xml:space="preserve">Extracto MP 15/08/2026</t>
  </si>
  <si>
    <t xml:space="preserve">Extracto MP 31/08/2026</t>
  </si>
  <si>
    <t xml:space="preserve">2026-09</t>
  </si>
  <si>
    <t xml:space="preserve">DigitalOcean (débito Mercado Pago en pesos)</t>
  </si>
  <si>
    <t xml:space="preserve">Extracto MP septiembre · Pago a DIGITALOCEAN.COM</t>
  </si>
  <si>
    <t xml:space="preserve">DiDi (DLO*DiDi)</t>
  </si>
  <si>
    <t xml:space="preserve">Extracto MP septiembre</t>
  </si>
  <si>
    <t xml:space="preserve">Criterio v3</t>
  </si>
  <si>
    <t xml:space="preserve">El Grok de 98,17 USDC del 12/08 es el cargo grande que faltaba en la planilla de invoices. El de 24 USD del 4/08 (tarjeta BBVA) se mantiene aparte. El de 9,90 del 12/07 también. No se inventó un cargo de 100 redondos.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</si>
</sst>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#,##0.00"/>
    <numFmt numFmtId="167" formatCode="\$#,##0.00;&quot;($&quot;#,##0.00\);\-"/>
    <numFmt numFmtId="168" formatCode="#,##0;\(#,##0\);\-"/>
    <numFmt numFmtId="169" formatCode="yyyy\-mm\-dd"/>
    <numFmt numFmtId="170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4B"/>
      <name val="Arial"/>
      <family val="0"/>
      <charset val="1"/>
    </font>
    <font>
      <i val="true"/>
      <sz val="10"/>
      <color rgb="FF5C6570"/>
      <name val="Arial"/>
      <family val="0"/>
      <charset val="1"/>
    </font>
    <font>
      <b val="true"/>
      <sz val="12"/>
      <color rgb="FF1B3A4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C657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FFF3B0"/>
        <bgColor rgb="FFF7F4EE"/>
      </patternFill>
    </fill>
    <fill>
      <patternFill patternType="solid">
        <fgColor rgb="FF2A6F7F"/>
        <bgColor rgb="FF008080"/>
      </patternFill>
    </fill>
    <fill>
      <patternFill patternType="solid">
        <fgColor rgb="FFF7F4EE"/>
        <bgColor rgb="FFE8F0E9"/>
      </patternFill>
    </fill>
    <fill>
      <patternFill patternType="solid">
        <fgColor rgb="FFE8F0E9"/>
        <bgColor rgb="FFF7F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CFC4"/>
      </left>
      <right style="thin">
        <color rgb="FFD4CFC4"/>
      </right>
      <top style="thin">
        <color rgb="FFD4CFC4"/>
      </top>
      <bottom style="thin">
        <color rgb="FFD4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7F"/>
      <rgbColor rgb="FFD4CFC4"/>
      <rgbColor rgb="FF808080"/>
      <rgbColor rgb="FF9999FF"/>
      <rgbColor rgb="FF993366"/>
      <rgbColor rgb="FFF7F4EE"/>
      <rgbColor rgb="FFE8F0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570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</row>
    <row r="7" customFormat="false" ht="15" hidden="false" customHeight="false" outlineLevel="0" collapsed="false">
      <c r="B7" s="5" t="s">
        <v>6</v>
      </c>
      <c r="C7" s="6" t="n">
        <v>600000</v>
      </c>
      <c r="D7" s="7" t="s">
        <v>7</v>
      </c>
    </row>
    <row r="8" customFormat="false" ht="15" hidden="false" customHeight="false" outlineLevel="0" collapsed="false">
      <c r="B8" s="5" t="s">
        <v>8</v>
      </c>
      <c r="C8" s="8" t="n">
        <v>1480</v>
      </c>
      <c r="D8" s="7" t="s">
        <v>9</v>
      </c>
    </row>
    <row r="9" customFormat="false" ht="15" hidden="false" customHeight="false" outlineLevel="0" collapsed="false">
      <c r="B9" s="5" t="s">
        <v>10</v>
      </c>
      <c r="C9" s="8" t="n">
        <v>1410</v>
      </c>
      <c r="D9" s="7" t="s">
        <v>11</v>
      </c>
    </row>
    <row r="11" customFormat="false" ht="15" hidden="false" customHeight="false" outlineLevel="0" collapsed="false">
      <c r="B11" s="3" t="s">
        <v>12</v>
      </c>
    </row>
    <row r="12" customFormat="false" ht="15" hidden="false" customHeight="false" outlineLevel="0" collapsed="false">
      <c r="B12" s="4" t="s">
        <v>3</v>
      </c>
      <c r="C12" s="4" t="s">
        <v>13</v>
      </c>
      <c r="D12" s="4" t="s">
        <v>14</v>
      </c>
    </row>
    <row r="13" customFormat="false" ht="15" hidden="false" customHeight="false" outlineLevel="0" collapsed="false">
      <c r="B13" s="5" t="s">
        <v>15</v>
      </c>
      <c r="C13" s="9" t="n">
        <f aca="false">SUM(Gastos!K6:K97)</f>
        <v>1120.99939408062</v>
      </c>
      <c r="D13" s="9" t="n">
        <f aca="false">C13*C8</f>
        <v>1659079.10323932</v>
      </c>
    </row>
    <row r="14" customFormat="false" ht="15" hidden="false" customHeight="false" outlineLevel="0" collapsed="false">
      <c r="B14" s="5" t="s">
        <v>16</v>
      </c>
      <c r="C14" s="9" t="n">
        <f aca="false">C7/C9</f>
        <v>425.531914893617</v>
      </c>
      <c r="D14" s="9" t="n">
        <f aca="false">C7</f>
        <v>600000</v>
      </c>
    </row>
    <row r="15" customFormat="false" ht="15" hidden="false" customHeight="false" outlineLevel="0" collapsed="false">
      <c r="B15" s="10" t="s">
        <v>17</v>
      </c>
      <c r="C15" s="11" t="n">
        <f aca="false">C13-C14</f>
        <v>695.467479187005</v>
      </c>
      <c r="D15" s="11" t="n">
        <f aca="false">C15*C8</f>
        <v>1029291.86919677</v>
      </c>
    </row>
    <row r="17" customFormat="false" ht="15" hidden="false" customHeight="false" outlineLevel="0" collapsed="false">
      <c r="B17" s="3" t="s">
        <v>18</v>
      </c>
    </row>
    <row r="18" customFormat="false" ht="15" hidden="false" customHeight="false" outlineLevel="0" collapsed="false">
      <c r="B18" s="4" t="s">
        <v>19</v>
      </c>
      <c r="C18" s="4" t="s">
        <v>20</v>
      </c>
      <c r="D18" s="4" t="s">
        <v>13</v>
      </c>
      <c r="E18" s="4" t="s">
        <v>21</v>
      </c>
    </row>
    <row r="19" customFormat="false" ht="15" hidden="false" customHeight="false" outlineLevel="0" collapsed="false">
      <c r="B19" s="5" t="s">
        <v>22</v>
      </c>
      <c r="C19" s="12" t="n">
        <f aca="false">COUNTIF(Gastos!D6:D97,"2026-01")</f>
        <v>8</v>
      </c>
      <c r="D19" s="13" t="n">
        <f aca="false">SUMIF(Gastos!D6:D97,"2026-01",Gastos!K6:K97)</f>
        <v>86.93</v>
      </c>
      <c r="E19" s="13" t="n">
        <f aca="false">D19*$C$8</f>
        <v>128656.4</v>
      </c>
    </row>
    <row r="20" customFormat="false" ht="15" hidden="false" customHeight="false" outlineLevel="0" collapsed="false">
      <c r="B20" s="14" t="s">
        <v>23</v>
      </c>
      <c r="C20" s="15" t="n">
        <f aca="false">COUNTIF(Gastos!D6:D97,"2026-02")</f>
        <v>6</v>
      </c>
      <c r="D20" s="16" t="n">
        <f aca="false">SUMIF(Gastos!D6:D97,"2026-02",Gastos!K6:K97)</f>
        <v>85.16</v>
      </c>
      <c r="E20" s="16" t="n">
        <f aca="false">D20*$C$8</f>
        <v>126036.8</v>
      </c>
    </row>
    <row r="21" customFormat="false" ht="15" hidden="false" customHeight="false" outlineLevel="0" collapsed="false">
      <c r="B21" s="5" t="s">
        <v>24</v>
      </c>
      <c r="C21" s="12" t="n">
        <f aca="false">COUNTIF(Gastos!D6:D97,"2026-03")</f>
        <v>9</v>
      </c>
      <c r="D21" s="13" t="n">
        <f aca="false">SUMIF(Gastos!D6:D97,"2026-03",Gastos!K6:K97)</f>
        <v>127.67254125</v>
      </c>
      <c r="E21" s="13" t="n">
        <f aca="false">D21*$C$8</f>
        <v>188955.36105</v>
      </c>
    </row>
    <row r="22" customFormat="false" ht="15" hidden="false" customHeight="false" outlineLevel="0" collapsed="false">
      <c r="B22" s="14" t="s">
        <v>25</v>
      </c>
      <c r="C22" s="15" t="n">
        <f aca="false">COUNTIF(Gastos!D6:D97,"2026-04")</f>
        <v>15</v>
      </c>
      <c r="D22" s="16" t="n">
        <f aca="false">SUMIF(Gastos!D6:D97,"2026-04",Gastos!K6:K97)</f>
        <v>218.729933993</v>
      </c>
      <c r="E22" s="16" t="n">
        <f aca="false">D22*$C$8</f>
        <v>323720.30230964</v>
      </c>
    </row>
    <row r="23" customFormat="false" ht="15" hidden="false" customHeight="false" outlineLevel="0" collapsed="false">
      <c r="B23" s="5" t="s">
        <v>26</v>
      </c>
      <c r="C23" s="12" t="n">
        <f aca="false">COUNTIF(Gastos!D6:D97,"2026-05")</f>
        <v>10</v>
      </c>
      <c r="D23" s="13" t="n">
        <f aca="false">SUMIF(Gastos!D6:D97,"2026-05",Gastos!K6:K97)</f>
        <v>122.379619885</v>
      </c>
      <c r="E23" s="13" t="n">
        <f aca="false">D23*$C$8</f>
        <v>181121.8374298</v>
      </c>
    </row>
    <row r="24" customFormat="false" ht="15" hidden="false" customHeight="false" outlineLevel="0" collapsed="false">
      <c r="B24" s="14" t="s">
        <v>27</v>
      </c>
      <c r="C24" s="15" t="n">
        <f aca="false">COUNTIF(Gastos!D6:D97,"2026-06")</f>
        <v>12</v>
      </c>
      <c r="D24" s="16" t="n">
        <f aca="false">SUMIF(Gastos!D6:D97,"2026-06",Gastos!K6:K97)</f>
        <v>146.670344826</v>
      </c>
      <c r="E24" s="16" t="n">
        <f aca="false">D24*$C$8</f>
        <v>217072.11034248</v>
      </c>
    </row>
    <row r="25" customFormat="false" ht="15" hidden="false" customHeight="false" outlineLevel="0" collapsed="false">
      <c r="B25" s="5" t="s">
        <v>28</v>
      </c>
      <c r="C25" s="12" t="n">
        <f aca="false">COUNTIF(Gastos!D6:D97,"2026-07")</f>
        <v>14</v>
      </c>
      <c r="D25" s="13" t="n">
        <f aca="false">SUMIF(Gastos!D6:D97,"2026-07",Gastos!K6:K97)</f>
        <v>93.1298122347298</v>
      </c>
      <c r="E25" s="13" t="n">
        <f aca="false">D25*$C$8</f>
        <v>137832.1221074</v>
      </c>
    </row>
    <row r="26" customFormat="false" ht="15" hidden="false" customHeight="false" outlineLevel="0" collapsed="false">
      <c r="B26" s="14" t="s">
        <v>29</v>
      </c>
      <c r="C26" s="15" t="n">
        <f aca="false">COUNTIF(Gastos!D6:D97,"2026-08")</f>
        <v>16</v>
      </c>
      <c r="D26" s="16" t="n">
        <f aca="false">SUMIF(Gastos!D6:D97,"2026-08",Gastos!K6:K97)</f>
        <v>213.817027027027</v>
      </c>
      <c r="E26" s="16" t="n">
        <f aca="false">D26*$C$8</f>
        <v>316449.2</v>
      </c>
    </row>
    <row r="27" customFormat="false" ht="15" hidden="false" customHeight="false" outlineLevel="0" collapsed="false">
      <c r="B27" s="5" t="s">
        <v>30</v>
      </c>
      <c r="C27" s="12" t="n">
        <f aca="false">COUNTIF(Gastos!D6:D97,"2026-09")</f>
        <v>2</v>
      </c>
      <c r="D27" s="13" t="n">
        <f aca="false">SUMIF(Gastos!D6:D97,"2026-09",Gastos!K6:K97)</f>
        <v>26.5101148648649</v>
      </c>
      <c r="E27" s="13" t="n">
        <f aca="false">D27*$C$8</f>
        <v>39234.97</v>
      </c>
    </row>
    <row r="28" customFormat="false" ht="15" hidden="false" customHeight="false" outlineLevel="0" collapsed="false">
      <c r="B28" s="17" t="s">
        <v>31</v>
      </c>
      <c r="C28" s="18" t="n">
        <f aca="false">SUM(C19:C27)</f>
        <v>92</v>
      </c>
      <c r="D28" s="19" t="n">
        <f aca="false">SUM(D19:D27)</f>
        <v>1120.99939408062</v>
      </c>
      <c r="E28" s="19" t="n">
        <f aca="false">SUM(E19:E27)</f>
        <v>1659079.10323932</v>
      </c>
    </row>
    <row r="30" customFormat="false" ht="15" hidden="false" customHeight="false" outlineLevel="0" collapsed="false">
      <c r="B30" s="3" t="s">
        <v>32</v>
      </c>
    </row>
    <row r="31" customFormat="false" ht="72" hidden="false" customHeight="true" outlineLevel="0" collapsed="false">
      <c r="B31" s="20" t="s">
        <v>33</v>
      </c>
      <c r="C31" s="20"/>
      <c r="D31" s="20"/>
      <c r="E31" s="20"/>
      <c r="F31" s="20"/>
    </row>
    <row r="32" customFormat="false" ht="15" hidden="false" customHeight="false" outlineLevel="0" collapsed="false">
      <c r="B32" s="20"/>
      <c r="C32" s="20"/>
      <c r="D32" s="20"/>
      <c r="E32" s="20"/>
      <c r="F32" s="20"/>
    </row>
    <row r="33" customFormat="false" ht="15" hidden="false" customHeight="false" outlineLevel="0" collapsed="false">
      <c r="B33" s="20"/>
      <c r="C33" s="20"/>
      <c r="D33" s="20"/>
      <c r="E33" s="20"/>
      <c r="F33" s="20"/>
    </row>
    <row r="34" customFormat="false" ht="15" hidden="false" customHeight="false" outlineLevel="0" collapsed="false">
      <c r="B34" s="20"/>
      <c r="C34" s="20"/>
      <c r="D34" s="20"/>
      <c r="E34" s="20"/>
      <c r="F34" s="20"/>
    </row>
  </sheetData>
  <mergeCells count="3">
    <mergeCell ref="B2:F2"/>
    <mergeCell ref="B3:F3"/>
    <mergeCell ref="B31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5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48"/>
  </cols>
  <sheetData>
    <row r="2" customFormat="false" ht="21.75" hidden="false" customHeight="true" outlineLevel="0" collapsed="false">
      <c r="B2" s="1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s">
        <v>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30" hidden="false" customHeight="true" outlineLevel="0" collapsed="false">
      <c r="B5" s="4" t="s">
        <v>36</v>
      </c>
      <c r="C5" s="4" t="s">
        <v>37</v>
      </c>
      <c r="D5" s="4" t="s">
        <v>19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  <c r="K5" s="4" t="s">
        <v>13</v>
      </c>
      <c r="L5" s="4" t="s">
        <v>44</v>
      </c>
      <c r="M5" s="4" t="s">
        <v>45</v>
      </c>
      <c r="N5" s="4" t="s">
        <v>46</v>
      </c>
    </row>
    <row r="6" customFormat="false" ht="18" hidden="false" customHeight="true" outlineLevel="0" collapsed="false">
      <c r="B6" s="21" t="n">
        <v>1</v>
      </c>
      <c r="C6" s="22" t="n">
        <v>46023</v>
      </c>
      <c r="D6" s="21" t="s">
        <v>47</v>
      </c>
      <c r="E6" s="21" t="s">
        <v>48</v>
      </c>
      <c r="F6" s="23" t="s">
        <v>49</v>
      </c>
      <c r="G6" s="21" t="s">
        <v>50</v>
      </c>
      <c r="H6" s="21" t="s">
        <v>13</v>
      </c>
      <c r="I6" s="24" t="n">
        <v>20</v>
      </c>
      <c r="J6" s="25" t="n">
        <v>1</v>
      </c>
      <c r="K6" s="26" t="n">
        <v>20</v>
      </c>
      <c r="L6" s="26"/>
      <c r="M6" s="26" t="n">
        <f aca="false">IF(K6="","",K6*Totales!$C$8)</f>
        <v>29600</v>
      </c>
      <c r="N6" s="23" t="s">
        <v>51</v>
      </c>
    </row>
    <row r="7" customFormat="false" ht="18" hidden="false" customHeight="true" outlineLevel="0" collapsed="false">
      <c r="B7" s="27" t="n">
        <v>2</v>
      </c>
      <c r="C7" s="28" t="n">
        <v>46023</v>
      </c>
      <c r="D7" s="27" t="s">
        <v>47</v>
      </c>
      <c r="E7" s="27" t="s">
        <v>52</v>
      </c>
      <c r="F7" s="29" t="s">
        <v>53</v>
      </c>
      <c r="G7" s="27" t="s">
        <v>50</v>
      </c>
      <c r="H7" s="27" t="s">
        <v>13</v>
      </c>
      <c r="I7" s="30" t="n">
        <v>6</v>
      </c>
      <c r="J7" s="31" t="n">
        <v>1</v>
      </c>
      <c r="K7" s="32" t="n">
        <v>6</v>
      </c>
      <c r="L7" s="32"/>
      <c r="M7" s="32" t="n">
        <f aca="false">IF(K7="","",K7*Totales!$C$8)</f>
        <v>8880</v>
      </c>
      <c r="N7" s="29" t="s">
        <v>51</v>
      </c>
    </row>
    <row r="8" customFormat="false" ht="18" hidden="false" customHeight="true" outlineLevel="0" collapsed="false">
      <c r="B8" s="21" t="n">
        <v>3</v>
      </c>
      <c r="C8" s="22" t="n">
        <v>46023</v>
      </c>
      <c r="D8" s="21" t="s">
        <v>47</v>
      </c>
      <c r="E8" s="21" t="s">
        <v>48</v>
      </c>
      <c r="F8" s="23" t="s">
        <v>54</v>
      </c>
      <c r="G8" s="21" t="s">
        <v>55</v>
      </c>
      <c r="H8" s="21" t="s">
        <v>13</v>
      </c>
      <c r="I8" s="24" t="n">
        <v>6</v>
      </c>
      <c r="J8" s="25" t="n">
        <v>1</v>
      </c>
      <c r="K8" s="26" t="n">
        <v>6</v>
      </c>
      <c r="L8" s="26"/>
      <c r="M8" s="26" t="n">
        <f aca="false">IF(K8="","",K8*Totales!$C$8)</f>
        <v>8880</v>
      </c>
      <c r="N8" s="23" t="s">
        <v>51</v>
      </c>
    </row>
    <row r="9" customFormat="false" ht="18" hidden="false" customHeight="true" outlineLevel="0" collapsed="false">
      <c r="B9" s="27" t="n">
        <v>4</v>
      </c>
      <c r="C9" s="28" t="n">
        <v>46029</v>
      </c>
      <c r="D9" s="27" t="s">
        <v>47</v>
      </c>
      <c r="E9" s="27" t="s">
        <v>56</v>
      </c>
      <c r="F9" s="29" t="s">
        <v>57</v>
      </c>
      <c r="G9" s="27" t="s">
        <v>55</v>
      </c>
      <c r="H9" s="27" t="s">
        <v>13</v>
      </c>
      <c r="I9" s="30" t="n">
        <v>4.93</v>
      </c>
      <c r="J9" s="31" t="n">
        <v>1</v>
      </c>
      <c r="K9" s="32" t="n">
        <v>4.93</v>
      </c>
      <c r="L9" s="32"/>
      <c r="M9" s="32" t="n">
        <f aca="false">IF(K9="","",K9*Totales!$C$8)</f>
        <v>7296.4</v>
      </c>
      <c r="N9" s="29" t="s">
        <v>51</v>
      </c>
    </row>
    <row r="10" customFormat="false" ht="18" hidden="false" customHeight="true" outlineLevel="0" collapsed="false">
      <c r="B10" s="21" t="n">
        <v>5</v>
      </c>
      <c r="C10" s="22" t="n">
        <v>46034</v>
      </c>
      <c r="D10" s="21" t="s">
        <v>47</v>
      </c>
      <c r="E10" s="21" t="s">
        <v>52</v>
      </c>
      <c r="F10" s="23" t="s">
        <v>58</v>
      </c>
      <c r="G10" s="21" t="s">
        <v>50</v>
      </c>
      <c r="H10" s="21" t="s">
        <v>13</v>
      </c>
      <c r="I10" s="24" t="n">
        <v>20</v>
      </c>
      <c r="J10" s="25" t="n">
        <v>1</v>
      </c>
      <c r="K10" s="26" t="n">
        <v>20</v>
      </c>
      <c r="L10" s="26"/>
      <c r="M10" s="26" t="n">
        <f aca="false">IF(K10="","",K10*Totales!$C$8)</f>
        <v>29600</v>
      </c>
      <c r="N10" s="23" t="s">
        <v>51</v>
      </c>
    </row>
    <row r="11" customFormat="false" ht="18" hidden="false" customHeight="true" outlineLevel="0" collapsed="false">
      <c r="B11" s="27" t="n">
        <v>6</v>
      </c>
      <c r="C11" s="28" t="n">
        <v>46037</v>
      </c>
      <c r="D11" s="27" t="s">
        <v>47</v>
      </c>
      <c r="E11" s="27" t="s">
        <v>52</v>
      </c>
      <c r="F11" s="29" t="s">
        <v>59</v>
      </c>
      <c r="G11" s="27" t="s">
        <v>50</v>
      </c>
      <c r="H11" s="27" t="s">
        <v>13</v>
      </c>
      <c r="I11" s="30" t="n">
        <v>5</v>
      </c>
      <c r="J11" s="31" t="n">
        <v>1</v>
      </c>
      <c r="K11" s="32" t="n">
        <v>5</v>
      </c>
      <c r="L11" s="32"/>
      <c r="M11" s="32" t="n">
        <f aca="false">IF(K11="","",K11*Totales!$C$8)</f>
        <v>7400</v>
      </c>
      <c r="N11" s="29" t="s">
        <v>51</v>
      </c>
    </row>
    <row r="12" customFormat="false" ht="18" hidden="false" customHeight="true" outlineLevel="0" collapsed="false">
      <c r="B12" s="21" t="n">
        <v>7</v>
      </c>
      <c r="C12" s="22" t="n">
        <v>46037</v>
      </c>
      <c r="D12" s="21" t="s">
        <v>47</v>
      </c>
      <c r="E12" s="21" t="s">
        <v>52</v>
      </c>
      <c r="F12" s="23" t="s">
        <v>60</v>
      </c>
      <c r="G12" s="21" t="s">
        <v>50</v>
      </c>
      <c r="H12" s="21" t="s">
        <v>13</v>
      </c>
      <c r="I12" s="24" t="n">
        <v>5</v>
      </c>
      <c r="J12" s="25" t="n">
        <v>1</v>
      </c>
      <c r="K12" s="26" t="n">
        <v>5</v>
      </c>
      <c r="L12" s="26"/>
      <c r="M12" s="26" t="n">
        <f aca="false">IF(K12="","",K12*Totales!$C$8)</f>
        <v>7400</v>
      </c>
      <c r="N12" s="23" t="s">
        <v>51</v>
      </c>
    </row>
    <row r="13" customFormat="false" ht="18" hidden="false" customHeight="true" outlineLevel="0" collapsed="false">
      <c r="B13" s="27" t="n">
        <v>8</v>
      </c>
      <c r="C13" s="28" t="n">
        <v>46053</v>
      </c>
      <c r="D13" s="27" t="s">
        <v>47</v>
      </c>
      <c r="E13" s="27" t="s">
        <v>52</v>
      </c>
      <c r="F13" s="29" t="s">
        <v>61</v>
      </c>
      <c r="G13" s="27" t="s">
        <v>50</v>
      </c>
      <c r="H13" s="27" t="s">
        <v>13</v>
      </c>
      <c r="I13" s="30" t="n">
        <v>20</v>
      </c>
      <c r="J13" s="31" t="n">
        <v>1</v>
      </c>
      <c r="K13" s="32" t="n">
        <v>20</v>
      </c>
      <c r="L13" s="32"/>
      <c r="M13" s="32" t="n">
        <f aca="false">IF(K13="","",K13*Totales!$C$8)</f>
        <v>29600</v>
      </c>
      <c r="N13" s="29" t="s">
        <v>51</v>
      </c>
    </row>
    <row r="14" customFormat="false" ht="18" hidden="false" customHeight="true" outlineLevel="0" collapsed="false">
      <c r="B14" s="21" t="n">
        <v>9</v>
      </c>
      <c r="C14" s="22" t="n">
        <v>46054</v>
      </c>
      <c r="D14" s="21" t="s">
        <v>62</v>
      </c>
      <c r="E14" s="21" t="s">
        <v>48</v>
      </c>
      <c r="F14" s="23" t="s">
        <v>49</v>
      </c>
      <c r="G14" s="21" t="s">
        <v>50</v>
      </c>
      <c r="H14" s="21" t="s">
        <v>13</v>
      </c>
      <c r="I14" s="24" t="n">
        <v>20</v>
      </c>
      <c r="J14" s="25" t="n">
        <v>1</v>
      </c>
      <c r="K14" s="26" t="n">
        <v>20</v>
      </c>
      <c r="L14" s="26"/>
      <c r="M14" s="26" t="n">
        <f aca="false">IF(K14="","",K14*Totales!$C$8)</f>
        <v>29600</v>
      </c>
      <c r="N14" s="23" t="s">
        <v>51</v>
      </c>
    </row>
    <row r="15" customFormat="false" ht="18" hidden="false" customHeight="true" outlineLevel="0" collapsed="false">
      <c r="B15" s="27" t="n">
        <v>10</v>
      </c>
      <c r="C15" s="28" t="n">
        <v>46054</v>
      </c>
      <c r="D15" s="27" t="s">
        <v>62</v>
      </c>
      <c r="E15" s="27" t="s">
        <v>48</v>
      </c>
      <c r="F15" s="29" t="s">
        <v>63</v>
      </c>
      <c r="G15" s="27" t="s">
        <v>55</v>
      </c>
      <c r="H15" s="27" t="s">
        <v>13</v>
      </c>
      <c r="I15" s="30" t="n">
        <v>5</v>
      </c>
      <c r="J15" s="31" t="n">
        <v>1</v>
      </c>
      <c r="K15" s="32" t="n">
        <v>5</v>
      </c>
      <c r="L15" s="32"/>
      <c r="M15" s="32" t="n">
        <f aca="false">IF(K15="","",K15*Totales!$C$8)</f>
        <v>7400</v>
      </c>
      <c r="N15" s="29" t="s">
        <v>51</v>
      </c>
    </row>
    <row r="16" customFormat="false" ht="18" hidden="false" customHeight="true" outlineLevel="0" collapsed="false">
      <c r="B16" s="21" t="n">
        <v>11</v>
      </c>
      <c r="C16" s="22" t="n">
        <v>46054</v>
      </c>
      <c r="D16" s="21" t="s">
        <v>62</v>
      </c>
      <c r="E16" s="21" t="s">
        <v>48</v>
      </c>
      <c r="F16" s="23" t="s">
        <v>64</v>
      </c>
      <c r="G16" s="21" t="s">
        <v>55</v>
      </c>
      <c r="H16" s="21" t="s">
        <v>13</v>
      </c>
      <c r="I16" s="24" t="n">
        <v>9.81</v>
      </c>
      <c r="J16" s="25" t="n">
        <v>1</v>
      </c>
      <c r="K16" s="26" t="n">
        <v>9.81</v>
      </c>
      <c r="L16" s="26"/>
      <c r="M16" s="26" t="n">
        <f aca="false">IF(K16="","",K16*Totales!$C$8)</f>
        <v>14518.8</v>
      </c>
      <c r="N16" s="23" t="s">
        <v>51</v>
      </c>
    </row>
    <row r="17" customFormat="false" ht="18" hidden="false" customHeight="true" outlineLevel="0" collapsed="false">
      <c r="B17" s="27" t="n">
        <v>12</v>
      </c>
      <c r="C17" s="28" t="n">
        <v>46054</v>
      </c>
      <c r="D17" s="27" t="s">
        <v>62</v>
      </c>
      <c r="E17" s="27" t="s">
        <v>48</v>
      </c>
      <c r="F17" s="29" t="s">
        <v>65</v>
      </c>
      <c r="G17" s="27" t="s">
        <v>55</v>
      </c>
      <c r="H17" s="27" t="s">
        <v>13</v>
      </c>
      <c r="I17" s="30" t="n">
        <v>20.35</v>
      </c>
      <c r="J17" s="31" t="n">
        <v>1</v>
      </c>
      <c r="K17" s="32" t="n">
        <v>20.35</v>
      </c>
      <c r="L17" s="32"/>
      <c r="M17" s="32" t="n">
        <f aca="false">IF(K17="","",K17*Totales!$C$8)</f>
        <v>30118</v>
      </c>
      <c r="N17" s="29" t="s">
        <v>51</v>
      </c>
    </row>
    <row r="18" customFormat="false" ht="18" hidden="false" customHeight="true" outlineLevel="0" collapsed="false">
      <c r="B18" s="21" t="n">
        <v>13</v>
      </c>
      <c r="C18" s="22" t="n">
        <v>46055</v>
      </c>
      <c r="D18" s="21" t="s">
        <v>62</v>
      </c>
      <c r="E18" s="21" t="s">
        <v>48</v>
      </c>
      <c r="F18" s="23" t="s">
        <v>66</v>
      </c>
      <c r="G18" s="21" t="s">
        <v>50</v>
      </c>
      <c r="H18" s="21" t="s">
        <v>13</v>
      </c>
      <c r="I18" s="24" t="n">
        <v>10</v>
      </c>
      <c r="J18" s="25" t="n">
        <v>1</v>
      </c>
      <c r="K18" s="26" t="n">
        <v>10</v>
      </c>
      <c r="L18" s="26"/>
      <c r="M18" s="26" t="n">
        <f aca="false">IF(K18="","",K18*Totales!$C$8)</f>
        <v>14800</v>
      </c>
      <c r="N18" s="23" t="s">
        <v>51</v>
      </c>
    </row>
    <row r="19" customFormat="false" ht="18" hidden="false" customHeight="true" outlineLevel="0" collapsed="false">
      <c r="B19" s="27" t="n">
        <v>14</v>
      </c>
      <c r="C19" s="28" t="n">
        <v>46081</v>
      </c>
      <c r="D19" s="27" t="s">
        <v>62</v>
      </c>
      <c r="E19" s="27" t="s">
        <v>52</v>
      </c>
      <c r="F19" s="29" t="s">
        <v>61</v>
      </c>
      <c r="G19" s="27" t="s">
        <v>50</v>
      </c>
      <c r="H19" s="27" t="s">
        <v>13</v>
      </c>
      <c r="I19" s="30" t="n">
        <v>20</v>
      </c>
      <c r="J19" s="31" t="n">
        <v>1</v>
      </c>
      <c r="K19" s="32" t="n">
        <v>20</v>
      </c>
      <c r="L19" s="32"/>
      <c r="M19" s="32" t="n">
        <f aca="false">IF(K19="","",K19*Totales!$C$8)</f>
        <v>29600</v>
      </c>
      <c r="N19" s="29" t="s">
        <v>51</v>
      </c>
    </row>
    <row r="20" customFormat="false" ht="18" hidden="false" customHeight="true" outlineLevel="0" collapsed="false">
      <c r="B20" s="21" t="n">
        <v>15</v>
      </c>
      <c r="C20" s="22" t="n">
        <v>46082</v>
      </c>
      <c r="D20" s="21" t="s">
        <v>67</v>
      </c>
      <c r="E20" s="21" t="s">
        <v>48</v>
      </c>
      <c r="F20" s="23" t="s">
        <v>49</v>
      </c>
      <c r="G20" s="21" t="s">
        <v>50</v>
      </c>
      <c r="H20" s="21" t="s">
        <v>13</v>
      </c>
      <c r="I20" s="24" t="n">
        <v>20</v>
      </c>
      <c r="J20" s="25" t="n">
        <v>1</v>
      </c>
      <c r="K20" s="26" t="n">
        <v>20</v>
      </c>
      <c r="L20" s="26"/>
      <c r="M20" s="26" t="n">
        <f aca="false">IF(K20="","",K20*Totales!$C$8)</f>
        <v>29600</v>
      </c>
      <c r="N20" s="23" t="s">
        <v>51</v>
      </c>
    </row>
    <row r="21" customFormat="false" ht="18" hidden="false" customHeight="true" outlineLevel="0" collapsed="false">
      <c r="B21" s="27" t="n">
        <v>16</v>
      </c>
      <c r="C21" s="28" t="n">
        <v>46082</v>
      </c>
      <c r="D21" s="27" t="s">
        <v>67</v>
      </c>
      <c r="E21" s="27" t="s">
        <v>48</v>
      </c>
      <c r="F21" s="29" t="s">
        <v>54</v>
      </c>
      <c r="G21" s="27" t="s">
        <v>55</v>
      </c>
      <c r="H21" s="27" t="s">
        <v>13</v>
      </c>
      <c r="I21" s="30" t="n">
        <v>6</v>
      </c>
      <c r="J21" s="31" t="n">
        <v>1</v>
      </c>
      <c r="K21" s="32" t="n">
        <v>6</v>
      </c>
      <c r="L21" s="32"/>
      <c r="M21" s="32" t="n">
        <f aca="false">IF(K21="","",K21*Totales!$C$8)</f>
        <v>8880</v>
      </c>
      <c r="N21" s="29" t="s">
        <v>51</v>
      </c>
    </row>
    <row r="22" customFormat="false" ht="18" hidden="false" customHeight="true" outlineLevel="0" collapsed="false">
      <c r="B22" s="21" t="n">
        <v>17</v>
      </c>
      <c r="C22" s="22" t="n">
        <v>46082</v>
      </c>
      <c r="D22" s="21" t="s">
        <v>67</v>
      </c>
      <c r="E22" s="21" t="s">
        <v>48</v>
      </c>
      <c r="F22" s="23" t="s">
        <v>68</v>
      </c>
      <c r="G22" s="21" t="s">
        <v>55</v>
      </c>
      <c r="H22" s="21" t="s">
        <v>13</v>
      </c>
      <c r="I22" s="24" t="n">
        <v>17.25</v>
      </c>
      <c r="J22" s="25" t="n">
        <v>1</v>
      </c>
      <c r="K22" s="26" t="n">
        <v>17.25</v>
      </c>
      <c r="L22" s="26"/>
      <c r="M22" s="26" t="n">
        <f aca="false">IF(K22="","",K22*Totales!$C$8)</f>
        <v>25530</v>
      </c>
      <c r="N22" s="23" t="s">
        <v>51</v>
      </c>
    </row>
    <row r="23" customFormat="false" ht="18" hidden="false" customHeight="true" outlineLevel="0" collapsed="false">
      <c r="B23" s="27" t="n">
        <v>18</v>
      </c>
      <c r="C23" s="28" t="n">
        <v>46082</v>
      </c>
      <c r="D23" s="27" t="s">
        <v>67</v>
      </c>
      <c r="E23" s="27" t="s">
        <v>48</v>
      </c>
      <c r="F23" s="29" t="s">
        <v>69</v>
      </c>
      <c r="G23" s="27" t="s">
        <v>55</v>
      </c>
      <c r="H23" s="27" t="s">
        <v>13</v>
      </c>
      <c r="I23" s="30" t="n">
        <v>3.64</v>
      </c>
      <c r="J23" s="31" t="n">
        <v>1</v>
      </c>
      <c r="K23" s="32" t="n">
        <v>3.64</v>
      </c>
      <c r="L23" s="32"/>
      <c r="M23" s="32" t="n">
        <f aca="false">IF(K23="","",K23*Totales!$C$8)</f>
        <v>5387.2</v>
      </c>
      <c r="N23" s="29" t="s">
        <v>51</v>
      </c>
    </row>
    <row r="24" customFormat="false" ht="18" hidden="false" customHeight="true" outlineLevel="0" collapsed="false">
      <c r="B24" s="21" t="n">
        <v>19</v>
      </c>
      <c r="C24" s="22" t="n">
        <v>46082</v>
      </c>
      <c r="D24" s="21" t="s">
        <v>67</v>
      </c>
      <c r="E24" s="21" t="s">
        <v>48</v>
      </c>
      <c r="F24" s="23" t="s">
        <v>70</v>
      </c>
      <c r="G24" s="21" t="s">
        <v>55</v>
      </c>
      <c r="H24" s="21" t="s">
        <v>13</v>
      </c>
      <c r="I24" s="24" t="n">
        <v>16.29</v>
      </c>
      <c r="J24" s="25" t="n">
        <v>1</v>
      </c>
      <c r="K24" s="26" t="n">
        <v>16.29</v>
      </c>
      <c r="L24" s="26"/>
      <c r="M24" s="26" t="n">
        <f aca="false">IF(K24="","",K24*Totales!$C$8)</f>
        <v>24109.2</v>
      </c>
      <c r="N24" s="23" t="s">
        <v>51</v>
      </c>
    </row>
    <row r="25" customFormat="false" ht="18" hidden="false" customHeight="true" outlineLevel="0" collapsed="false">
      <c r="B25" s="27" t="n">
        <v>20</v>
      </c>
      <c r="C25" s="28" t="n">
        <v>46088</v>
      </c>
      <c r="D25" s="27" t="s">
        <v>67</v>
      </c>
      <c r="E25" s="27" t="s">
        <v>48</v>
      </c>
      <c r="F25" s="29" t="s">
        <v>66</v>
      </c>
      <c r="G25" s="27" t="s">
        <v>50</v>
      </c>
      <c r="H25" s="27" t="s">
        <v>13</v>
      </c>
      <c r="I25" s="30" t="n">
        <v>20</v>
      </c>
      <c r="J25" s="31" t="n">
        <v>1</v>
      </c>
      <c r="K25" s="32" t="n">
        <v>20</v>
      </c>
      <c r="L25" s="32"/>
      <c r="M25" s="32" t="n">
        <f aca="false">IF(K25="","",K25*Totales!$C$8)</f>
        <v>29600</v>
      </c>
      <c r="N25" s="29" t="s">
        <v>51</v>
      </c>
    </row>
    <row r="26" customFormat="false" ht="18" hidden="false" customHeight="true" outlineLevel="0" collapsed="false">
      <c r="B26" s="21" t="n">
        <v>21</v>
      </c>
      <c r="C26" s="22" t="n">
        <v>46091</v>
      </c>
      <c r="D26" s="21" t="s">
        <v>67</v>
      </c>
      <c r="E26" s="21" t="s">
        <v>52</v>
      </c>
      <c r="F26" s="23" t="s">
        <v>71</v>
      </c>
      <c r="G26" s="21" t="s">
        <v>55</v>
      </c>
      <c r="H26" s="21" t="s">
        <v>13</v>
      </c>
      <c r="I26" s="24" t="n">
        <v>9</v>
      </c>
      <c r="J26" s="25" t="n">
        <v>1</v>
      </c>
      <c r="K26" s="26" t="n">
        <v>9</v>
      </c>
      <c r="L26" s="26"/>
      <c r="M26" s="26" t="n">
        <f aca="false">IF(K26="","",K26*Totales!$C$8)</f>
        <v>13320</v>
      </c>
      <c r="N26" s="23" t="s">
        <v>51</v>
      </c>
    </row>
    <row r="27" customFormat="false" ht="18" hidden="false" customHeight="true" outlineLevel="0" collapsed="false">
      <c r="B27" s="27" t="n">
        <v>22</v>
      </c>
      <c r="C27" s="28" t="n">
        <v>46100</v>
      </c>
      <c r="D27" s="27" t="s">
        <v>67</v>
      </c>
      <c r="E27" s="27" t="s">
        <v>48</v>
      </c>
      <c r="F27" s="29" t="s">
        <v>66</v>
      </c>
      <c r="G27" s="27" t="s">
        <v>50</v>
      </c>
      <c r="H27" s="27" t="s">
        <v>13</v>
      </c>
      <c r="I27" s="30" t="n">
        <v>10.08</v>
      </c>
      <c r="J27" s="31" t="n">
        <v>1</v>
      </c>
      <c r="K27" s="32" t="n">
        <v>10.08</v>
      </c>
      <c r="L27" s="32"/>
      <c r="M27" s="32" t="n">
        <f aca="false">IF(K27="","",K27*Totales!$C$8)</f>
        <v>14918.4</v>
      </c>
      <c r="N27" s="29" t="s">
        <v>51</v>
      </c>
    </row>
    <row r="28" customFormat="false" ht="18" hidden="false" customHeight="true" outlineLevel="0" collapsed="false">
      <c r="B28" s="21" t="n">
        <v>23</v>
      </c>
      <c r="C28" s="22" t="n">
        <v>46107</v>
      </c>
      <c r="D28" s="21" t="s">
        <v>67</v>
      </c>
      <c r="E28" s="21" t="s">
        <v>48</v>
      </c>
      <c r="F28" s="23" t="s">
        <v>72</v>
      </c>
      <c r="G28" s="21" t="s">
        <v>73</v>
      </c>
      <c r="H28" s="21" t="s">
        <v>14</v>
      </c>
      <c r="I28" s="24" t="n">
        <v>38500</v>
      </c>
      <c r="J28" s="25" t="n">
        <v>1515</v>
      </c>
      <c r="K28" s="26" t="n">
        <v>25.41254125</v>
      </c>
      <c r="L28" s="26" t="n">
        <v>38500</v>
      </c>
      <c r="M28" s="26" t="n">
        <f aca="false">IF(K28="","",K28*Totales!$C$8)</f>
        <v>37610.56105</v>
      </c>
      <c r="N28" s="23" t="s">
        <v>51</v>
      </c>
    </row>
    <row r="29" customFormat="false" ht="18" hidden="false" customHeight="true" outlineLevel="0" collapsed="false">
      <c r="B29" s="27" t="n">
        <v>24</v>
      </c>
      <c r="C29" s="28" t="n">
        <v>46113</v>
      </c>
      <c r="D29" s="27" t="s">
        <v>74</v>
      </c>
      <c r="E29" s="27" t="s">
        <v>48</v>
      </c>
      <c r="F29" s="29" t="s">
        <v>75</v>
      </c>
      <c r="G29" s="27" t="s">
        <v>50</v>
      </c>
      <c r="H29" s="27" t="s">
        <v>13</v>
      </c>
      <c r="I29" s="30" t="n">
        <v>20</v>
      </c>
      <c r="J29" s="31" t="n">
        <v>1</v>
      </c>
      <c r="K29" s="32" t="n">
        <v>20</v>
      </c>
      <c r="L29" s="32"/>
      <c r="M29" s="32" t="n">
        <f aca="false">IF(K29="","",K29*Totales!$C$8)</f>
        <v>29600</v>
      </c>
      <c r="N29" s="29" t="s">
        <v>51</v>
      </c>
    </row>
    <row r="30" customFormat="false" ht="18" hidden="false" customHeight="true" outlineLevel="0" collapsed="false">
      <c r="B30" s="21" t="n">
        <v>25</v>
      </c>
      <c r="C30" s="22" t="n">
        <v>46113</v>
      </c>
      <c r="D30" s="21" t="s">
        <v>74</v>
      </c>
      <c r="E30" s="21" t="s">
        <v>76</v>
      </c>
      <c r="F30" s="23" t="s">
        <v>61</v>
      </c>
      <c r="G30" s="21" t="s">
        <v>50</v>
      </c>
      <c r="H30" s="21" t="s">
        <v>13</v>
      </c>
      <c r="I30" s="24" t="n">
        <v>20</v>
      </c>
      <c r="J30" s="25" t="n">
        <v>1</v>
      </c>
      <c r="K30" s="26" t="n">
        <v>20</v>
      </c>
      <c r="L30" s="26"/>
      <c r="M30" s="26" t="n">
        <f aca="false">IF(K30="","",K30*Totales!$C$8)</f>
        <v>29600</v>
      </c>
      <c r="N30" s="23" t="s">
        <v>51</v>
      </c>
    </row>
    <row r="31" customFormat="false" ht="18" hidden="false" customHeight="true" outlineLevel="0" collapsed="false">
      <c r="B31" s="27" t="n">
        <v>26</v>
      </c>
      <c r="C31" s="28" t="n">
        <v>46113</v>
      </c>
      <c r="D31" s="27" t="s">
        <v>74</v>
      </c>
      <c r="E31" s="27" t="s">
        <v>76</v>
      </c>
      <c r="F31" s="29" t="s">
        <v>77</v>
      </c>
      <c r="G31" s="27" t="s">
        <v>55</v>
      </c>
      <c r="H31" s="27" t="s">
        <v>13</v>
      </c>
      <c r="I31" s="30" t="n">
        <v>6</v>
      </c>
      <c r="J31" s="31" t="n">
        <v>1</v>
      </c>
      <c r="K31" s="32" t="n">
        <v>6</v>
      </c>
      <c r="L31" s="32"/>
      <c r="M31" s="32" t="n">
        <f aca="false">IF(K31="","",K31*Totales!$C$8)</f>
        <v>8880</v>
      </c>
      <c r="N31" s="29" t="s">
        <v>51</v>
      </c>
    </row>
    <row r="32" customFormat="false" ht="18" hidden="false" customHeight="true" outlineLevel="0" collapsed="false">
      <c r="B32" s="21" t="n">
        <v>27</v>
      </c>
      <c r="C32" s="22" t="n">
        <v>46113</v>
      </c>
      <c r="D32" s="21" t="s">
        <v>74</v>
      </c>
      <c r="E32" s="21" t="s">
        <v>48</v>
      </c>
      <c r="F32" s="23" t="s">
        <v>65</v>
      </c>
      <c r="G32" s="21" t="s">
        <v>55</v>
      </c>
      <c r="H32" s="21" t="s">
        <v>13</v>
      </c>
      <c r="I32" s="24" t="n">
        <v>20</v>
      </c>
      <c r="J32" s="25" t="n">
        <v>1</v>
      </c>
      <c r="K32" s="26" t="n">
        <v>20</v>
      </c>
      <c r="L32" s="26"/>
      <c r="M32" s="26" t="n">
        <f aca="false">IF(K32="","",K32*Totales!$C$8)</f>
        <v>29600</v>
      </c>
      <c r="N32" s="23" t="s">
        <v>51</v>
      </c>
    </row>
    <row r="33" customFormat="false" ht="18" hidden="false" customHeight="true" outlineLevel="0" collapsed="false">
      <c r="B33" s="27" t="n">
        <v>28</v>
      </c>
      <c r="C33" s="28" t="n">
        <v>46114</v>
      </c>
      <c r="D33" s="27" t="s">
        <v>74</v>
      </c>
      <c r="E33" s="27" t="s">
        <v>48</v>
      </c>
      <c r="F33" s="29" t="s">
        <v>78</v>
      </c>
      <c r="G33" s="27" t="s">
        <v>55</v>
      </c>
      <c r="H33" s="27" t="s">
        <v>13</v>
      </c>
      <c r="I33" s="30" t="n">
        <v>63.39</v>
      </c>
      <c r="J33" s="31" t="n">
        <v>1</v>
      </c>
      <c r="K33" s="32" t="n">
        <v>63.39</v>
      </c>
      <c r="L33" s="32"/>
      <c r="M33" s="32" t="n">
        <f aca="false">IF(K33="","",K33*Totales!$C$8)</f>
        <v>93817.2</v>
      </c>
      <c r="N33" s="29" t="s">
        <v>51</v>
      </c>
    </row>
    <row r="34" customFormat="false" ht="18" hidden="false" customHeight="true" outlineLevel="0" collapsed="false">
      <c r="B34" s="21" t="n">
        <v>29</v>
      </c>
      <c r="C34" s="22" t="n">
        <v>46119</v>
      </c>
      <c r="D34" s="21" t="s">
        <v>74</v>
      </c>
      <c r="E34" s="21" t="s">
        <v>56</v>
      </c>
      <c r="F34" s="23" t="s">
        <v>63</v>
      </c>
      <c r="G34" s="21" t="s">
        <v>55</v>
      </c>
      <c r="H34" s="21" t="s">
        <v>13</v>
      </c>
      <c r="I34" s="24" t="n">
        <v>5</v>
      </c>
      <c r="J34" s="25" t="n">
        <v>1</v>
      </c>
      <c r="K34" s="26" t="n">
        <v>5</v>
      </c>
      <c r="L34" s="26"/>
      <c r="M34" s="26" t="n">
        <f aca="false">IF(K34="","",K34*Totales!$C$8)</f>
        <v>7400</v>
      </c>
      <c r="N34" s="23" t="s">
        <v>51</v>
      </c>
    </row>
    <row r="35" customFormat="false" ht="18" hidden="false" customHeight="true" outlineLevel="0" collapsed="false">
      <c r="B35" s="27" t="n">
        <v>30</v>
      </c>
      <c r="C35" s="28" t="n">
        <v>46125</v>
      </c>
      <c r="D35" s="27" t="s">
        <v>74</v>
      </c>
      <c r="E35" s="27" t="s">
        <v>76</v>
      </c>
      <c r="F35" s="29" t="s">
        <v>79</v>
      </c>
      <c r="G35" s="27" t="s">
        <v>80</v>
      </c>
      <c r="H35" s="27" t="s">
        <v>14</v>
      </c>
      <c r="I35" s="30" t="n">
        <v>21880</v>
      </c>
      <c r="J35" s="31" t="n">
        <v>1515</v>
      </c>
      <c r="K35" s="32" t="n">
        <v>14.44224422</v>
      </c>
      <c r="L35" s="32" t="n">
        <v>21880</v>
      </c>
      <c r="M35" s="32" t="n">
        <f aca="false">IF(K35="","",K35*Totales!$C$8)</f>
        <v>21374.5214456</v>
      </c>
      <c r="N35" s="29" t="s">
        <v>51</v>
      </c>
    </row>
    <row r="36" customFormat="false" ht="18" hidden="false" customHeight="true" outlineLevel="0" collapsed="false">
      <c r="B36" s="21" t="n">
        <v>31</v>
      </c>
      <c r="C36" s="22" t="n">
        <v>46127</v>
      </c>
      <c r="D36" s="21" t="s">
        <v>74</v>
      </c>
      <c r="E36" s="21" t="s">
        <v>76</v>
      </c>
      <c r="F36" s="23" t="s">
        <v>81</v>
      </c>
      <c r="G36" s="21" t="s">
        <v>80</v>
      </c>
      <c r="H36" s="21" t="s">
        <v>14</v>
      </c>
      <c r="I36" s="24" t="n">
        <v>2350</v>
      </c>
      <c r="J36" s="25" t="n">
        <v>1515</v>
      </c>
      <c r="K36" s="26" t="n">
        <v>1.551155116</v>
      </c>
      <c r="L36" s="26" t="n">
        <v>2350</v>
      </c>
      <c r="M36" s="26" t="n">
        <f aca="false">IF(K36="","",K36*Totales!$C$8)</f>
        <v>2295.70957168</v>
      </c>
      <c r="N36" s="23" t="s">
        <v>51</v>
      </c>
    </row>
    <row r="37" customFormat="false" ht="18" hidden="false" customHeight="true" outlineLevel="0" collapsed="false">
      <c r="B37" s="27" t="n">
        <v>32</v>
      </c>
      <c r="C37" s="28" t="n">
        <v>46127</v>
      </c>
      <c r="D37" s="27" t="s">
        <v>74</v>
      </c>
      <c r="E37" s="27" t="s">
        <v>76</v>
      </c>
      <c r="F37" s="29" t="s">
        <v>82</v>
      </c>
      <c r="G37" s="27" t="s">
        <v>80</v>
      </c>
      <c r="H37" s="27" t="s">
        <v>14</v>
      </c>
      <c r="I37" s="30" t="n">
        <v>17790</v>
      </c>
      <c r="J37" s="31" t="n">
        <v>1515</v>
      </c>
      <c r="K37" s="32" t="n">
        <v>11.74257426</v>
      </c>
      <c r="L37" s="32" t="n">
        <v>17790</v>
      </c>
      <c r="M37" s="32" t="n">
        <f aca="false">IF(K37="","",K37*Totales!$C$8)</f>
        <v>17379.0099048</v>
      </c>
      <c r="N37" s="29" t="s">
        <v>51</v>
      </c>
    </row>
    <row r="38" customFormat="false" ht="18" hidden="false" customHeight="true" outlineLevel="0" collapsed="false">
      <c r="B38" s="21" t="n">
        <v>33</v>
      </c>
      <c r="C38" s="22" t="n">
        <v>46127</v>
      </c>
      <c r="D38" s="21" t="s">
        <v>74</v>
      </c>
      <c r="E38" s="21" t="s">
        <v>76</v>
      </c>
      <c r="F38" s="23" t="s">
        <v>82</v>
      </c>
      <c r="G38" s="21" t="s">
        <v>80</v>
      </c>
      <c r="H38" s="21" t="s">
        <v>14</v>
      </c>
      <c r="I38" s="24" t="n">
        <v>4985</v>
      </c>
      <c r="J38" s="25" t="n">
        <v>1515</v>
      </c>
      <c r="K38" s="26" t="n">
        <v>3.290429043</v>
      </c>
      <c r="L38" s="26" t="n">
        <v>4985</v>
      </c>
      <c r="M38" s="26" t="n">
        <f aca="false">IF(K38="","",K38*Totales!$C$8)</f>
        <v>4869.83498364</v>
      </c>
      <c r="N38" s="23" t="s">
        <v>51</v>
      </c>
    </row>
    <row r="39" customFormat="false" ht="18" hidden="false" customHeight="true" outlineLevel="0" collapsed="false">
      <c r="B39" s="27" t="n">
        <v>34</v>
      </c>
      <c r="C39" s="28" t="n">
        <v>46127</v>
      </c>
      <c r="D39" s="27" t="s">
        <v>74</v>
      </c>
      <c r="E39" s="27" t="s">
        <v>76</v>
      </c>
      <c r="F39" s="29" t="s">
        <v>83</v>
      </c>
      <c r="G39" s="27" t="s">
        <v>80</v>
      </c>
      <c r="H39" s="27" t="s">
        <v>14</v>
      </c>
      <c r="I39" s="30" t="n">
        <v>4374</v>
      </c>
      <c r="J39" s="31" t="n">
        <v>1515</v>
      </c>
      <c r="K39" s="32" t="n">
        <v>2.887128713</v>
      </c>
      <c r="L39" s="32" t="n">
        <v>4374</v>
      </c>
      <c r="M39" s="32" t="n">
        <f aca="false">IF(K39="","",K39*Totales!$C$8)</f>
        <v>4272.95049524</v>
      </c>
      <c r="N39" s="29" t="s">
        <v>51</v>
      </c>
    </row>
    <row r="40" customFormat="false" ht="18" hidden="false" customHeight="true" outlineLevel="0" collapsed="false">
      <c r="B40" s="21" t="n">
        <v>35</v>
      </c>
      <c r="C40" s="22" t="n">
        <v>46133</v>
      </c>
      <c r="D40" s="21" t="s">
        <v>74</v>
      </c>
      <c r="E40" s="21" t="s">
        <v>76</v>
      </c>
      <c r="F40" s="23" t="s">
        <v>84</v>
      </c>
      <c r="G40" s="21" t="s">
        <v>80</v>
      </c>
      <c r="H40" s="21" t="s">
        <v>14</v>
      </c>
      <c r="I40" s="24" t="n">
        <v>11130</v>
      </c>
      <c r="J40" s="25" t="n">
        <v>1515</v>
      </c>
      <c r="K40" s="26" t="n">
        <v>7.346534653</v>
      </c>
      <c r="L40" s="26" t="n">
        <v>11130</v>
      </c>
      <c r="M40" s="26" t="n">
        <f aca="false">IF(K40="","",K40*Totales!$C$8)</f>
        <v>10872.87128644</v>
      </c>
      <c r="N40" s="23" t="s">
        <v>51</v>
      </c>
    </row>
    <row r="41" customFormat="false" ht="18" hidden="false" customHeight="true" outlineLevel="0" collapsed="false">
      <c r="B41" s="27" t="n">
        <v>36</v>
      </c>
      <c r="C41" s="28" t="n">
        <v>46133</v>
      </c>
      <c r="D41" s="27" t="s">
        <v>74</v>
      </c>
      <c r="E41" s="27" t="s">
        <v>76</v>
      </c>
      <c r="F41" s="29" t="s">
        <v>85</v>
      </c>
      <c r="G41" s="27" t="s">
        <v>80</v>
      </c>
      <c r="H41" s="27" t="s">
        <v>14</v>
      </c>
      <c r="I41" s="30" t="n">
        <v>14582</v>
      </c>
      <c r="J41" s="31" t="n">
        <v>1515</v>
      </c>
      <c r="K41" s="32" t="n">
        <v>9.625082508</v>
      </c>
      <c r="L41" s="32" t="n">
        <v>14582</v>
      </c>
      <c r="M41" s="32" t="n">
        <f aca="false">IF(K41="","",K41*Totales!$C$8)</f>
        <v>14245.12211184</v>
      </c>
      <c r="N41" s="29" t="s">
        <v>51</v>
      </c>
    </row>
    <row r="42" customFormat="false" ht="18" hidden="false" customHeight="true" outlineLevel="0" collapsed="false">
      <c r="B42" s="21" t="n">
        <v>37</v>
      </c>
      <c r="C42" s="22" t="n">
        <v>46134</v>
      </c>
      <c r="D42" s="21" t="s">
        <v>74</v>
      </c>
      <c r="E42" s="21" t="s">
        <v>76</v>
      </c>
      <c r="F42" s="23" t="s">
        <v>86</v>
      </c>
      <c r="G42" s="21" t="s">
        <v>80</v>
      </c>
      <c r="H42" s="21" t="s">
        <v>14</v>
      </c>
      <c r="I42" s="24" t="n">
        <v>31918</v>
      </c>
      <c r="J42" s="25" t="n">
        <v>1515</v>
      </c>
      <c r="K42" s="26" t="n">
        <v>21.0679868</v>
      </c>
      <c r="L42" s="26" t="n">
        <v>31918</v>
      </c>
      <c r="M42" s="26" t="n">
        <f aca="false">IF(K42="","",K42*Totales!$C$8)</f>
        <v>31180.620464</v>
      </c>
      <c r="N42" s="23" t="s">
        <v>51</v>
      </c>
    </row>
    <row r="43" customFormat="false" ht="18" hidden="false" customHeight="true" outlineLevel="0" collapsed="false">
      <c r="B43" s="27" t="n">
        <v>38</v>
      </c>
      <c r="C43" s="28" t="n">
        <v>46135</v>
      </c>
      <c r="D43" s="27" t="s">
        <v>74</v>
      </c>
      <c r="E43" s="27" t="s">
        <v>76</v>
      </c>
      <c r="F43" s="29" t="s">
        <v>87</v>
      </c>
      <c r="G43" s="27" t="s">
        <v>80</v>
      </c>
      <c r="H43" s="27" t="s">
        <v>14</v>
      </c>
      <c r="I43" s="30" t="n">
        <v>18766</v>
      </c>
      <c r="J43" s="31" t="n">
        <v>1515</v>
      </c>
      <c r="K43" s="32" t="n">
        <v>12.38679868</v>
      </c>
      <c r="L43" s="32" t="n">
        <v>18766</v>
      </c>
      <c r="M43" s="32" t="n">
        <f aca="false">IF(K43="","",K43*Totales!$C$8)</f>
        <v>18332.4620464</v>
      </c>
      <c r="N43" s="29" t="s">
        <v>51</v>
      </c>
    </row>
    <row r="44" customFormat="false" ht="18" hidden="false" customHeight="true" outlineLevel="0" collapsed="false">
      <c r="B44" s="21" t="n">
        <v>39</v>
      </c>
      <c r="C44" s="22" t="n">
        <v>46143</v>
      </c>
      <c r="D44" s="21" t="s">
        <v>88</v>
      </c>
      <c r="E44" s="21" t="s">
        <v>76</v>
      </c>
      <c r="F44" s="23" t="s">
        <v>77</v>
      </c>
      <c r="G44" s="21" t="s">
        <v>55</v>
      </c>
      <c r="H44" s="21" t="s">
        <v>13</v>
      </c>
      <c r="I44" s="24" t="n">
        <v>6</v>
      </c>
      <c r="J44" s="25" t="n">
        <v>1</v>
      </c>
      <c r="K44" s="26" t="n">
        <v>6</v>
      </c>
      <c r="L44" s="26"/>
      <c r="M44" s="26" t="n">
        <f aca="false">IF(K44="","",K44*Totales!$C$8)</f>
        <v>8880</v>
      </c>
      <c r="N44" s="23" t="s">
        <v>51</v>
      </c>
    </row>
    <row r="45" customFormat="false" ht="18" hidden="false" customHeight="true" outlineLevel="0" collapsed="false">
      <c r="B45" s="27" t="n">
        <v>40</v>
      </c>
      <c r="C45" s="28" t="n">
        <v>46143</v>
      </c>
      <c r="D45" s="27" t="s">
        <v>88</v>
      </c>
      <c r="E45" s="27" t="s">
        <v>76</v>
      </c>
      <c r="F45" s="29" t="s">
        <v>89</v>
      </c>
      <c r="G45" s="27" t="s">
        <v>55</v>
      </c>
      <c r="H45" s="27" t="s">
        <v>13</v>
      </c>
      <c r="I45" s="30" t="n">
        <v>5</v>
      </c>
      <c r="J45" s="31" t="n">
        <v>1</v>
      </c>
      <c r="K45" s="32" t="n">
        <v>5</v>
      </c>
      <c r="L45" s="32"/>
      <c r="M45" s="32" t="n">
        <f aca="false">IF(K45="","",K45*Totales!$C$8)</f>
        <v>7400</v>
      </c>
      <c r="N45" s="29" t="s">
        <v>51</v>
      </c>
    </row>
    <row r="46" customFormat="false" ht="18" hidden="false" customHeight="true" outlineLevel="0" collapsed="false">
      <c r="B46" s="21" t="n">
        <v>41</v>
      </c>
      <c r="C46" s="22" t="n">
        <v>46146</v>
      </c>
      <c r="D46" s="21" t="s">
        <v>88</v>
      </c>
      <c r="E46" s="21" t="s">
        <v>76</v>
      </c>
      <c r="F46" s="23" t="s">
        <v>82</v>
      </c>
      <c r="G46" s="21" t="s">
        <v>80</v>
      </c>
      <c r="H46" s="21" t="s">
        <v>14</v>
      </c>
      <c r="I46" s="24" t="n">
        <v>4081</v>
      </c>
      <c r="J46" s="25" t="n">
        <v>1515</v>
      </c>
      <c r="K46" s="26" t="n">
        <v>2.693729373</v>
      </c>
      <c r="L46" s="26" t="n">
        <v>4081</v>
      </c>
      <c r="M46" s="26" t="n">
        <f aca="false">IF(K46="","",K46*Totales!$C$8)</f>
        <v>3986.71947204</v>
      </c>
      <c r="N46" s="23" t="s">
        <v>51</v>
      </c>
    </row>
    <row r="47" customFormat="false" ht="18" hidden="false" customHeight="true" outlineLevel="0" collapsed="false">
      <c r="B47" s="27" t="n">
        <v>42</v>
      </c>
      <c r="C47" s="28" t="n">
        <v>46151</v>
      </c>
      <c r="D47" s="27" t="s">
        <v>88</v>
      </c>
      <c r="E47" s="27" t="s">
        <v>76</v>
      </c>
      <c r="F47" s="29" t="s">
        <v>90</v>
      </c>
      <c r="G47" s="27" t="s">
        <v>80</v>
      </c>
      <c r="H47" s="27" t="s">
        <v>14</v>
      </c>
      <c r="I47" s="30" t="n">
        <v>19426</v>
      </c>
      <c r="J47" s="31" t="n">
        <v>1515</v>
      </c>
      <c r="K47" s="32" t="n">
        <v>12.82244224</v>
      </c>
      <c r="L47" s="32" t="n">
        <v>19426</v>
      </c>
      <c r="M47" s="32" t="n">
        <f aca="false">IF(K47="","",K47*Totales!$C$8)</f>
        <v>18977.2145152</v>
      </c>
      <c r="N47" s="29" t="s">
        <v>51</v>
      </c>
    </row>
    <row r="48" customFormat="false" ht="18" hidden="false" customHeight="true" outlineLevel="0" collapsed="false">
      <c r="B48" s="21" t="n">
        <v>43</v>
      </c>
      <c r="C48" s="22" t="n">
        <v>46155</v>
      </c>
      <c r="D48" s="21" t="s">
        <v>88</v>
      </c>
      <c r="E48" s="21" t="s">
        <v>91</v>
      </c>
      <c r="F48" s="23" t="s">
        <v>92</v>
      </c>
      <c r="G48" s="21" t="s">
        <v>80</v>
      </c>
      <c r="H48" s="21" t="s">
        <v>14</v>
      </c>
      <c r="I48" s="24" t="n">
        <v>7119</v>
      </c>
      <c r="J48" s="25" t="n">
        <v>1450</v>
      </c>
      <c r="K48" s="26" t="n">
        <v>4.909655172</v>
      </c>
      <c r="L48" s="26" t="n">
        <v>7119</v>
      </c>
      <c r="M48" s="26" t="n">
        <f aca="false">IF(K48="","",K48*Totales!$C$8)</f>
        <v>7266.28965456</v>
      </c>
      <c r="N48" s="23" t="s">
        <v>51</v>
      </c>
    </row>
    <row r="49" customFormat="false" ht="18" hidden="false" customHeight="true" outlineLevel="0" collapsed="false">
      <c r="B49" s="27" t="n">
        <v>44</v>
      </c>
      <c r="C49" s="28" t="n">
        <v>46155</v>
      </c>
      <c r="D49" s="27" t="s">
        <v>88</v>
      </c>
      <c r="E49" s="27" t="s">
        <v>76</v>
      </c>
      <c r="F49" s="29" t="s">
        <v>93</v>
      </c>
      <c r="G49" s="27" t="s">
        <v>55</v>
      </c>
      <c r="H49" s="27" t="s">
        <v>13</v>
      </c>
      <c r="I49" s="30" t="n">
        <v>20</v>
      </c>
      <c r="J49" s="31" t="n">
        <v>1</v>
      </c>
      <c r="K49" s="32" t="n">
        <v>20</v>
      </c>
      <c r="L49" s="32"/>
      <c r="M49" s="32" t="n">
        <f aca="false">IF(K49="","",K49*Totales!$C$8)</f>
        <v>29600</v>
      </c>
      <c r="N49" s="29" t="s">
        <v>51</v>
      </c>
    </row>
    <row r="50" customFormat="false" ht="18" hidden="false" customHeight="true" outlineLevel="0" collapsed="false">
      <c r="B50" s="21" t="n">
        <v>45</v>
      </c>
      <c r="C50" s="22" t="n">
        <v>46156</v>
      </c>
      <c r="D50" s="21" t="s">
        <v>88</v>
      </c>
      <c r="E50" s="21" t="s">
        <v>91</v>
      </c>
      <c r="F50" s="23" t="s">
        <v>92</v>
      </c>
      <c r="G50" s="21" t="s">
        <v>80</v>
      </c>
      <c r="H50" s="21" t="s">
        <v>14</v>
      </c>
      <c r="I50" s="24" t="n">
        <v>15883</v>
      </c>
      <c r="J50" s="25" t="n">
        <v>1450</v>
      </c>
      <c r="K50" s="26" t="n">
        <v>10.9537931</v>
      </c>
      <c r="L50" s="26" t="n">
        <v>15883</v>
      </c>
      <c r="M50" s="26" t="n">
        <f aca="false">IF(K50="","",K50*Totales!$C$8)</f>
        <v>16211.613788</v>
      </c>
      <c r="N50" s="23" t="s">
        <v>51</v>
      </c>
    </row>
    <row r="51" customFormat="false" ht="18" hidden="false" customHeight="true" outlineLevel="0" collapsed="false">
      <c r="B51" s="27" t="n">
        <v>46</v>
      </c>
      <c r="C51" s="28" t="n">
        <v>46163</v>
      </c>
      <c r="D51" s="27" t="s">
        <v>88</v>
      </c>
      <c r="E51" s="27" t="s">
        <v>76</v>
      </c>
      <c r="F51" s="29" t="s">
        <v>94</v>
      </c>
      <c r="G51" s="27" t="s">
        <v>50</v>
      </c>
      <c r="H51" s="27" t="s">
        <v>13</v>
      </c>
      <c r="I51" s="30" t="n">
        <v>20</v>
      </c>
      <c r="J51" s="31" t="n">
        <v>1</v>
      </c>
      <c r="K51" s="32" t="n">
        <v>20</v>
      </c>
      <c r="L51" s="32"/>
      <c r="M51" s="32" t="n">
        <f aca="false">IF(K51="","",K51*Totales!$C$8)</f>
        <v>29600</v>
      </c>
      <c r="N51" s="29" t="s">
        <v>51</v>
      </c>
    </row>
    <row r="52" customFormat="false" ht="18" hidden="false" customHeight="true" outlineLevel="0" collapsed="false">
      <c r="B52" s="21" t="n">
        <v>47</v>
      </c>
      <c r="C52" s="22" t="n">
        <v>46163</v>
      </c>
      <c r="D52" s="21" t="s">
        <v>88</v>
      </c>
      <c r="E52" s="21" t="s">
        <v>91</v>
      </c>
      <c r="F52" s="23" t="s">
        <v>95</v>
      </c>
      <c r="G52" s="21" t="s">
        <v>50</v>
      </c>
      <c r="H52" s="21" t="s">
        <v>13</v>
      </c>
      <c r="I52" s="24" t="n">
        <v>20</v>
      </c>
      <c r="J52" s="25" t="n">
        <v>1</v>
      </c>
      <c r="K52" s="26" t="n">
        <v>20</v>
      </c>
      <c r="L52" s="26"/>
      <c r="M52" s="26" t="n">
        <f aca="false">IF(K52="","",K52*Totales!$C$8)</f>
        <v>29600</v>
      </c>
      <c r="N52" s="23" t="s">
        <v>51</v>
      </c>
    </row>
    <row r="53" customFormat="false" ht="18" hidden="false" customHeight="true" outlineLevel="0" collapsed="false">
      <c r="B53" s="27" t="n">
        <v>48</v>
      </c>
      <c r="C53" s="28" t="n">
        <v>46173</v>
      </c>
      <c r="D53" s="27" t="s">
        <v>88</v>
      </c>
      <c r="E53" s="27" t="s">
        <v>91</v>
      </c>
      <c r="F53" s="29" t="s">
        <v>96</v>
      </c>
      <c r="G53" s="27" t="s">
        <v>50</v>
      </c>
      <c r="H53" s="27" t="s">
        <v>13</v>
      </c>
      <c r="I53" s="30" t="n">
        <v>20</v>
      </c>
      <c r="J53" s="31" t="n">
        <v>1</v>
      </c>
      <c r="K53" s="32" t="n">
        <v>20</v>
      </c>
      <c r="L53" s="32"/>
      <c r="M53" s="32" t="n">
        <f aca="false">IF(K53="","",K53*Totales!$C$8)</f>
        <v>29600</v>
      </c>
      <c r="N53" s="29" t="s">
        <v>51</v>
      </c>
    </row>
    <row r="54" customFormat="false" ht="18" hidden="false" customHeight="true" outlineLevel="0" collapsed="false">
      <c r="B54" s="21" t="n">
        <v>49</v>
      </c>
      <c r="C54" s="22" t="n">
        <v>46174</v>
      </c>
      <c r="D54" s="21" t="s">
        <v>97</v>
      </c>
      <c r="E54" s="21" t="s">
        <v>91</v>
      </c>
      <c r="F54" s="23" t="s">
        <v>98</v>
      </c>
      <c r="G54" s="21" t="s">
        <v>55</v>
      </c>
      <c r="H54" s="21" t="s">
        <v>13</v>
      </c>
      <c r="I54" s="24" t="n">
        <v>6</v>
      </c>
      <c r="J54" s="25" t="n">
        <v>1</v>
      </c>
      <c r="K54" s="26" t="n">
        <v>6</v>
      </c>
      <c r="L54" s="26"/>
      <c r="M54" s="26" t="n">
        <f aca="false">IF(K54="","",K54*Totales!$C$8)</f>
        <v>8880</v>
      </c>
      <c r="N54" s="23" t="s">
        <v>51</v>
      </c>
    </row>
    <row r="55" customFormat="false" ht="18" hidden="false" customHeight="true" outlineLevel="0" collapsed="false">
      <c r="B55" s="27" t="n">
        <v>50</v>
      </c>
      <c r="C55" s="28" t="n">
        <v>46175</v>
      </c>
      <c r="D55" s="27" t="s">
        <v>97</v>
      </c>
      <c r="E55" s="27" t="s">
        <v>91</v>
      </c>
      <c r="F55" s="29" t="s">
        <v>99</v>
      </c>
      <c r="G55" s="27" t="s">
        <v>100</v>
      </c>
      <c r="H55" s="27" t="s">
        <v>14</v>
      </c>
      <c r="I55" s="30" t="n">
        <v>34500</v>
      </c>
      <c r="J55" s="31" t="n">
        <v>1450</v>
      </c>
      <c r="K55" s="32" t="n">
        <v>23.79310345</v>
      </c>
      <c r="L55" s="32" t="n">
        <v>34500</v>
      </c>
      <c r="M55" s="32" t="n">
        <f aca="false">IF(K55="","",K55*Totales!$C$8)</f>
        <v>35213.793106</v>
      </c>
      <c r="N55" s="29" t="s">
        <v>51</v>
      </c>
    </row>
    <row r="56" customFormat="false" ht="18" hidden="false" customHeight="true" outlineLevel="0" collapsed="false">
      <c r="B56" s="21" t="n">
        <v>51</v>
      </c>
      <c r="C56" s="22" t="n">
        <v>46177</v>
      </c>
      <c r="D56" s="21" t="s">
        <v>97</v>
      </c>
      <c r="E56" s="21" t="s">
        <v>91</v>
      </c>
      <c r="F56" s="23" t="s">
        <v>63</v>
      </c>
      <c r="G56" s="21" t="s">
        <v>55</v>
      </c>
      <c r="H56" s="21" t="s">
        <v>13</v>
      </c>
      <c r="I56" s="24" t="n">
        <v>5</v>
      </c>
      <c r="J56" s="25" t="n">
        <v>1</v>
      </c>
      <c r="K56" s="26" t="n">
        <v>5</v>
      </c>
      <c r="L56" s="26"/>
      <c r="M56" s="26" t="n">
        <f aca="false">IF(K56="","",K56*Totales!$C$8)</f>
        <v>7400</v>
      </c>
      <c r="N56" s="23" t="s">
        <v>51</v>
      </c>
    </row>
    <row r="57" customFormat="false" ht="18" hidden="false" customHeight="true" outlineLevel="0" collapsed="false">
      <c r="B57" s="27" t="n">
        <v>52</v>
      </c>
      <c r="C57" s="28" t="n">
        <v>46182</v>
      </c>
      <c r="D57" s="27" t="s">
        <v>97</v>
      </c>
      <c r="E57" s="27" t="s">
        <v>91</v>
      </c>
      <c r="F57" s="29" t="s">
        <v>101</v>
      </c>
      <c r="G57" s="27" t="s">
        <v>50</v>
      </c>
      <c r="H57" s="27" t="s">
        <v>13</v>
      </c>
      <c r="I57" s="30" t="n">
        <v>10.08</v>
      </c>
      <c r="J57" s="31" t="n">
        <v>1</v>
      </c>
      <c r="K57" s="32" t="n">
        <v>10.08</v>
      </c>
      <c r="L57" s="32"/>
      <c r="M57" s="32" t="n">
        <f aca="false">IF(K57="","",K57*Totales!$C$8)</f>
        <v>14918.4</v>
      </c>
      <c r="N57" s="29" t="s">
        <v>51</v>
      </c>
    </row>
    <row r="58" customFormat="false" ht="18" hidden="false" customHeight="true" outlineLevel="0" collapsed="false">
      <c r="B58" s="21" t="n">
        <v>53</v>
      </c>
      <c r="C58" s="22" t="n">
        <v>46183</v>
      </c>
      <c r="D58" s="21" t="s">
        <v>97</v>
      </c>
      <c r="E58" s="21" t="s">
        <v>91</v>
      </c>
      <c r="F58" s="23" t="s">
        <v>102</v>
      </c>
      <c r="G58" s="21" t="s">
        <v>80</v>
      </c>
      <c r="H58" s="21" t="s">
        <v>14</v>
      </c>
      <c r="I58" s="24" t="n">
        <v>5088</v>
      </c>
      <c r="J58" s="25" t="n">
        <v>1450</v>
      </c>
      <c r="K58" s="26" t="n">
        <v>3.508965517</v>
      </c>
      <c r="L58" s="26" t="n">
        <v>5088</v>
      </c>
      <c r="M58" s="26" t="n">
        <f aca="false">IF(K58="","",K58*Totales!$C$8)</f>
        <v>5193.26896516</v>
      </c>
      <c r="N58" s="23" t="s">
        <v>51</v>
      </c>
    </row>
    <row r="59" customFormat="false" ht="18" hidden="false" customHeight="true" outlineLevel="0" collapsed="false">
      <c r="B59" s="27" t="n">
        <v>54</v>
      </c>
      <c r="C59" s="28" t="n">
        <v>46184</v>
      </c>
      <c r="D59" s="27" t="s">
        <v>97</v>
      </c>
      <c r="E59" s="27" t="s">
        <v>91</v>
      </c>
      <c r="F59" s="29" t="s">
        <v>103</v>
      </c>
      <c r="G59" s="27" t="s">
        <v>80</v>
      </c>
      <c r="H59" s="27" t="s">
        <v>14</v>
      </c>
      <c r="I59" s="30" t="n">
        <v>4817</v>
      </c>
      <c r="J59" s="31" t="n">
        <v>1450</v>
      </c>
      <c r="K59" s="32" t="n">
        <v>3.322068966</v>
      </c>
      <c r="L59" s="32" t="n">
        <v>4817</v>
      </c>
      <c r="M59" s="32" t="n">
        <f aca="false">IF(K59="","",K59*Totales!$C$8)</f>
        <v>4916.66206968</v>
      </c>
      <c r="N59" s="29" t="s">
        <v>51</v>
      </c>
    </row>
    <row r="60" customFormat="false" ht="18" hidden="false" customHeight="true" outlineLevel="0" collapsed="false">
      <c r="B60" s="21" t="n">
        <v>55</v>
      </c>
      <c r="C60" s="22" t="n">
        <v>46184</v>
      </c>
      <c r="D60" s="21" t="s">
        <v>97</v>
      </c>
      <c r="E60" s="21" t="s">
        <v>91</v>
      </c>
      <c r="F60" s="23" t="s">
        <v>104</v>
      </c>
      <c r="G60" s="21" t="s">
        <v>73</v>
      </c>
      <c r="H60" s="21" t="s">
        <v>14</v>
      </c>
      <c r="I60" s="24" t="n">
        <v>22500</v>
      </c>
      <c r="J60" s="25" t="n">
        <v>1450</v>
      </c>
      <c r="K60" s="26" t="n">
        <v>15.51724138</v>
      </c>
      <c r="L60" s="26" t="n">
        <v>22500</v>
      </c>
      <c r="M60" s="26" t="n">
        <f aca="false">IF(K60="","",K60*Totales!$C$8)</f>
        <v>22965.5172424</v>
      </c>
      <c r="N60" s="23" t="s">
        <v>51</v>
      </c>
    </row>
    <row r="61" customFormat="false" ht="18" hidden="false" customHeight="true" outlineLevel="0" collapsed="false">
      <c r="B61" s="27" t="n">
        <v>56</v>
      </c>
      <c r="C61" s="28" t="n">
        <v>46186</v>
      </c>
      <c r="D61" s="27" t="s">
        <v>97</v>
      </c>
      <c r="E61" s="27" t="s">
        <v>56</v>
      </c>
      <c r="F61" s="29" t="s">
        <v>105</v>
      </c>
      <c r="G61" s="27" t="s">
        <v>55</v>
      </c>
      <c r="H61" s="27" t="s">
        <v>13</v>
      </c>
      <c r="I61" s="30" t="n">
        <v>20</v>
      </c>
      <c r="J61" s="31" t="n">
        <v>1</v>
      </c>
      <c r="K61" s="32" t="n">
        <v>20</v>
      </c>
      <c r="L61" s="32"/>
      <c r="M61" s="32" t="n">
        <f aca="false">IF(K61="","",K61*Totales!$C$8)</f>
        <v>29600</v>
      </c>
      <c r="N61" s="29" t="s">
        <v>51</v>
      </c>
    </row>
    <row r="62" customFormat="false" ht="18" hidden="false" customHeight="true" outlineLevel="0" collapsed="false">
      <c r="B62" s="21" t="n">
        <v>57</v>
      </c>
      <c r="C62" s="22" t="n">
        <v>46191</v>
      </c>
      <c r="D62" s="21" t="s">
        <v>97</v>
      </c>
      <c r="E62" s="21" t="s">
        <v>91</v>
      </c>
      <c r="F62" s="23" t="s">
        <v>92</v>
      </c>
      <c r="G62" s="21" t="s">
        <v>80</v>
      </c>
      <c r="H62" s="21" t="s">
        <v>14</v>
      </c>
      <c r="I62" s="24" t="n">
        <v>23626</v>
      </c>
      <c r="J62" s="25" t="n">
        <v>1450</v>
      </c>
      <c r="K62" s="26" t="n">
        <v>16.2937931</v>
      </c>
      <c r="L62" s="26" t="n">
        <v>23626</v>
      </c>
      <c r="M62" s="26" t="n">
        <f aca="false">IF(K62="","",K62*Totales!$C$8)</f>
        <v>24114.813788</v>
      </c>
      <c r="N62" s="23" t="s">
        <v>51</v>
      </c>
    </row>
    <row r="63" customFormat="false" ht="18" hidden="false" customHeight="true" outlineLevel="0" collapsed="false">
      <c r="B63" s="27" t="n">
        <v>58</v>
      </c>
      <c r="C63" s="28" t="n">
        <v>46191</v>
      </c>
      <c r="D63" s="27" t="s">
        <v>97</v>
      </c>
      <c r="E63" s="27" t="s">
        <v>91</v>
      </c>
      <c r="F63" s="29" t="s">
        <v>92</v>
      </c>
      <c r="G63" s="27" t="s">
        <v>80</v>
      </c>
      <c r="H63" s="27" t="s">
        <v>14</v>
      </c>
      <c r="I63" s="30" t="n">
        <v>22305</v>
      </c>
      <c r="J63" s="31" t="n">
        <v>1450</v>
      </c>
      <c r="K63" s="32" t="n">
        <v>15.38275862</v>
      </c>
      <c r="L63" s="32" t="n">
        <v>22305</v>
      </c>
      <c r="M63" s="32" t="n">
        <f aca="false">IF(K63="","",K63*Totales!$C$8)</f>
        <v>22766.4827576</v>
      </c>
      <c r="N63" s="29" t="s">
        <v>51</v>
      </c>
    </row>
    <row r="64" customFormat="false" ht="18" hidden="false" customHeight="true" outlineLevel="0" collapsed="false">
      <c r="B64" s="21" t="n">
        <v>59</v>
      </c>
      <c r="C64" s="22" t="n">
        <v>46196</v>
      </c>
      <c r="D64" s="21" t="s">
        <v>97</v>
      </c>
      <c r="E64" s="21" t="s">
        <v>91</v>
      </c>
      <c r="F64" s="23" t="s">
        <v>106</v>
      </c>
      <c r="G64" s="21" t="s">
        <v>80</v>
      </c>
      <c r="H64" s="21" t="s">
        <v>14</v>
      </c>
      <c r="I64" s="24" t="n">
        <v>11270</v>
      </c>
      <c r="J64" s="25" t="n">
        <v>1450</v>
      </c>
      <c r="K64" s="26" t="n">
        <v>7.772413793</v>
      </c>
      <c r="L64" s="26" t="n">
        <v>11270</v>
      </c>
      <c r="M64" s="26" t="n">
        <f aca="false">IF(K64="","",K64*Totales!$C$8)</f>
        <v>11503.17241364</v>
      </c>
      <c r="N64" s="23" t="s">
        <v>51</v>
      </c>
    </row>
    <row r="65" customFormat="false" ht="18" hidden="false" customHeight="true" outlineLevel="0" collapsed="false">
      <c r="B65" s="27" t="n">
        <v>60</v>
      </c>
      <c r="C65" s="28" t="n">
        <v>46203</v>
      </c>
      <c r="D65" s="27" t="s">
        <v>97</v>
      </c>
      <c r="E65" s="27" t="s">
        <v>56</v>
      </c>
      <c r="F65" s="29" t="s">
        <v>96</v>
      </c>
      <c r="G65" s="27" t="s">
        <v>50</v>
      </c>
      <c r="H65" s="27" t="s">
        <v>13</v>
      </c>
      <c r="I65" s="30" t="n">
        <v>20</v>
      </c>
      <c r="J65" s="31" t="n">
        <v>1</v>
      </c>
      <c r="K65" s="32" t="n">
        <v>20</v>
      </c>
      <c r="L65" s="32"/>
      <c r="M65" s="32" t="n">
        <f aca="false">IF(K65="","",K65*Totales!$C$8)</f>
        <v>29600</v>
      </c>
      <c r="N65" s="29" t="s">
        <v>51</v>
      </c>
    </row>
    <row r="66" customFormat="false" ht="18" hidden="false" customHeight="true" outlineLevel="0" collapsed="false">
      <c r="B66" s="21" t="n">
        <v>61</v>
      </c>
      <c r="C66" s="22" t="n">
        <v>46204</v>
      </c>
      <c r="D66" s="21" t="s">
        <v>107</v>
      </c>
      <c r="E66" s="21" t="s">
        <v>108</v>
      </c>
      <c r="F66" s="23" t="s">
        <v>57</v>
      </c>
      <c r="G66" s="21" t="s">
        <v>55</v>
      </c>
      <c r="H66" s="21" t="s">
        <v>13</v>
      </c>
      <c r="I66" s="24" t="n">
        <v>6</v>
      </c>
      <c r="J66" s="25" t="n">
        <v>1</v>
      </c>
      <c r="K66" s="26" t="n">
        <v>6</v>
      </c>
      <c r="L66" s="26"/>
      <c r="M66" s="26" t="n">
        <f aca="false">IF(K66="","",K66*Totales!$C$8)</f>
        <v>8880</v>
      </c>
      <c r="N66" s="23" t="s">
        <v>109</v>
      </c>
    </row>
    <row r="67" customFormat="false" ht="18" hidden="false" customHeight="true" outlineLevel="0" collapsed="false">
      <c r="B67" s="27" t="n">
        <v>62</v>
      </c>
      <c r="C67" s="28" t="n">
        <v>46207</v>
      </c>
      <c r="D67" s="27" t="s">
        <v>107</v>
      </c>
      <c r="E67" s="27" t="s">
        <v>108</v>
      </c>
      <c r="F67" s="29" t="s">
        <v>63</v>
      </c>
      <c r="G67" s="27" t="s">
        <v>55</v>
      </c>
      <c r="H67" s="27" t="s">
        <v>13</v>
      </c>
      <c r="I67" s="30" t="n">
        <v>5</v>
      </c>
      <c r="J67" s="31" t="n">
        <v>1</v>
      </c>
      <c r="K67" s="32" t="n">
        <v>5</v>
      </c>
      <c r="L67" s="32"/>
      <c r="M67" s="32" t="n">
        <f aca="false">IF(K67="","",K67*Totales!$C$8)</f>
        <v>7400</v>
      </c>
      <c r="N67" s="29" t="s">
        <v>110</v>
      </c>
    </row>
    <row r="68" customFormat="false" ht="18" hidden="false" customHeight="true" outlineLevel="0" collapsed="false">
      <c r="B68" s="21" t="n">
        <v>63</v>
      </c>
      <c r="C68" s="22" t="n">
        <v>46210</v>
      </c>
      <c r="D68" s="21" t="s">
        <v>107</v>
      </c>
      <c r="E68" s="21" t="s">
        <v>56</v>
      </c>
      <c r="F68" s="23" t="s">
        <v>111</v>
      </c>
      <c r="G68" s="21" t="s">
        <v>80</v>
      </c>
      <c r="H68" s="21" t="s">
        <v>14</v>
      </c>
      <c r="I68" s="24" t="n">
        <v>17553</v>
      </c>
      <c r="J68" s="25" t="n">
        <v>1515</v>
      </c>
      <c r="K68" s="26" t="n">
        <v>11.58613861</v>
      </c>
      <c r="L68" s="26" t="n">
        <v>17553</v>
      </c>
      <c r="M68" s="26" t="n">
        <f aca="false">IF(K68="","",K68*Totales!$C$8)</f>
        <v>17147.4851428</v>
      </c>
      <c r="N68" s="23" t="s">
        <v>51</v>
      </c>
    </row>
    <row r="69" customFormat="false" ht="18" hidden="false" customHeight="true" outlineLevel="0" collapsed="false">
      <c r="B69" s="27" t="n">
        <v>64</v>
      </c>
      <c r="C69" s="28" t="n">
        <v>46215</v>
      </c>
      <c r="D69" s="27" t="s">
        <v>107</v>
      </c>
      <c r="E69" s="27" t="s">
        <v>56</v>
      </c>
      <c r="F69" s="29" t="s">
        <v>112</v>
      </c>
      <c r="G69" s="27" t="s">
        <v>50</v>
      </c>
      <c r="H69" s="27" t="s">
        <v>13</v>
      </c>
      <c r="I69" s="30" t="n">
        <v>9.9</v>
      </c>
      <c r="J69" s="31" t="n">
        <v>1</v>
      </c>
      <c r="K69" s="32" t="n">
        <v>9.9</v>
      </c>
      <c r="L69" s="32"/>
      <c r="M69" s="32" t="n">
        <f aca="false">IF(K69="","",K69*Totales!$C$8)</f>
        <v>14652</v>
      </c>
      <c r="N69" s="29" t="s">
        <v>113</v>
      </c>
    </row>
    <row r="70" customFormat="false" ht="18" hidden="false" customHeight="true" outlineLevel="0" collapsed="false">
      <c r="B70" s="21" t="n">
        <v>65</v>
      </c>
      <c r="C70" s="22" t="n">
        <v>46216</v>
      </c>
      <c r="D70" s="21" t="s">
        <v>107</v>
      </c>
      <c r="E70" s="21" t="s">
        <v>56</v>
      </c>
      <c r="F70" s="23" t="s">
        <v>111</v>
      </c>
      <c r="G70" s="21" t="s">
        <v>80</v>
      </c>
      <c r="H70" s="21" t="s">
        <v>14</v>
      </c>
      <c r="I70" s="24" t="n">
        <v>5979</v>
      </c>
      <c r="J70" s="25" t="n">
        <v>1515</v>
      </c>
      <c r="K70" s="26" t="n">
        <v>3.946534653</v>
      </c>
      <c r="L70" s="26" t="n">
        <v>5979</v>
      </c>
      <c r="M70" s="26" t="n">
        <f aca="false">IF(K70="","",K70*Totales!$C$8)</f>
        <v>5840.87128644</v>
      </c>
      <c r="N70" s="23" t="s">
        <v>51</v>
      </c>
    </row>
    <row r="71" customFormat="false" ht="18" hidden="false" customHeight="true" outlineLevel="0" collapsed="false">
      <c r="B71" s="27" t="n">
        <v>66</v>
      </c>
      <c r="C71" s="28" t="n">
        <v>46217</v>
      </c>
      <c r="D71" s="27" t="s">
        <v>107</v>
      </c>
      <c r="E71" s="27" t="s">
        <v>56</v>
      </c>
      <c r="F71" s="29" t="s">
        <v>114</v>
      </c>
      <c r="G71" s="27" t="s">
        <v>80</v>
      </c>
      <c r="H71" s="27" t="s">
        <v>14</v>
      </c>
      <c r="I71" s="30" t="n">
        <v>10695</v>
      </c>
      <c r="J71" s="31" t="n">
        <v>1515</v>
      </c>
      <c r="K71" s="32" t="n">
        <v>7.059405941</v>
      </c>
      <c r="L71" s="32" t="n">
        <v>10695</v>
      </c>
      <c r="M71" s="32" t="n">
        <f aca="false">IF(K71="","",K71*Totales!$C$8)</f>
        <v>10447.92079268</v>
      </c>
      <c r="N71" s="29" t="s">
        <v>51</v>
      </c>
    </row>
    <row r="72" customFormat="false" ht="18" hidden="false" customHeight="true" outlineLevel="0" collapsed="false">
      <c r="B72" s="21" t="n">
        <v>67</v>
      </c>
      <c r="C72" s="22" t="n">
        <v>46218</v>
      </c>
      <c r="D72" s="21" t="s">
        <v>107</v>
      </c>
      <c r="E72" s="21" t="s">
        <v>56</v>
      </c>
      <c r="F72" s="23" t="s">
        <v>115</v>
      </c>
      <c r="G72" s="21" t="s">
        <v>80</v>
      </c>
      <c r="H72" s="21" t="s">
        <v>14</v>
      </c>
      <c r="I72" s="24" t="n">
        <v>12157</v>
      </c>
      <c r="J72" s="25" t="n">
        <v>1515</v>
      </c>
      <c r="K72" s="26" t="n">
        <v>8.024422442</v>
      </c>
      <c r="L72" s="26" t="n">
        <v>12157</v>
      </c>
      <c r="M72" s="26" t="n">
        <f aca="false">IF(K72="","",K72*Totales!$C$8)</f>
        <v>11876.14521416</v>
      </c>
      <c r="N72" s="23" t="s">
        <v>51</v>
      </c>
    </row>
    <row r="73" customFormat="false" ht="18" hidden="false" customHeight="true" outlineLevel="0" collapsed="false">
      <c r="B73" s="27" t="n">
        <v>68</v>
      </c>
      <c r="C73" s="28" t="n">
        <v>46225</v>
      </c>
      <c r="D73" s="27" t="s">
        <v>107</v>
      </c>
      <c r="E73" s="27" t="s">
        <v>56</v>
      </c>
      <c r="F73" s="29" t="s">
        <v>116</v>
      </c>
      <c r="G73" s="27" t="s">
        <v>80</v>
      </c>
      <c r="H73" s="27" t="s">
        <v>14</v>
      </c>
      <c r="I73" s="30" t="n">
        <v>5988</v>
      </c>
      <c r="J73" s="31" t="n">
        <v>1515</v>
      </c>
      <c r="K73" s="32" t="n">
        <v>3.952475248</v>
      </c>
      <c r="L73" s="32" t="n">
        <v>5988</v>
      </c>
      <c r="M73" s="32" t="n">
        <f aca="false">IF(K73="","",K73*Totales!$C$8)</f>
        <v>5849.66336704</v>
      </c>
      <c r="N73" s="29" t="s">
        <v>51</v>
      </c>
    </row>
    <row r="74" customFormat="false" ht="18" hidden="false" customHeight="true" outlineLevel="0" collapsed="false">
      <c r="B74" s="21" t="n">
        <v>69</v>
      </c>
      <c r="C74" s="22" t="n">
        <v>46227</v>
      </c>
      <c r="D74" s="21" t="s">
        <v>107</v>
      </c>
      <c r="E74" s="21" t="s">
        <v>56</v>
      </c>
      <c r="F74" s="23" t="s">
        <v>111</v>
      </c>
      <c r="G74" s="21" t="s">
        <v>80</v>
      </c>
      <c r="H74" s="21" t="s">
        <v>14</v>
      </c>
      <c r="I74" s="24" t="n">
        <v>6145</v>
      </c>
      <c r="J74" s="25" t="n">
        <v>1515</v>
      </c>
      <c r="K74" s="26" t="n">
        <v>4.056105611</v>
      </c>
      <c r="L74" s="26" t="n">
        <v>6145</v>
      </c>
      <c r="M74" s="26" t="n">
        <f aca="false">IF(K74="","",K74*Totales!$C$8)</f>
        <v>6003.03630428</v>
      </c>
      <c r="N74" s="23" t="s">
        <v>51</v>
      </c>
    </row>
    <row r="75" customFormat="false" ht="18" hidden="false" customHeight="true" outlineLevel="0" collapsed="false">
      <c r="B75" s="27" t="n">
        <v>70</v>
      </c>
      <c r="C75" s="28" t="n">
        <v>46228</v>
      </c>
      <c r="D75" s="27" t="s">
        <v>107</v>
      </c>
      <c r="E75" s="27" t="s">
        <v>108</v>
      </c>
      <c r="F75" s="29" t="s">
        <v>117</v>
      </c>
      <c r="G75" s="27" t="s">
        <v>80</v>
      </c>
      <c r="H75" s="27" t="s">
        <v>14</v>
      </c>
      <c r="I75" s="30" t="n">
        <v>10599</v>
      </c>
      <c r="J75" s="31" t="n">
        <v>1480</v>
      </c>
      <c r="K75" s="32" t="n">
        <v>7.16148648648649</v>
      </c>
      <c r="L75" s="32" t="n">
        <v>10599</v>
      </c>
      <c r="M75" s="32" t="n">
        <f aca="false">IF(K75="","",K75*Totales!$C$8)</f>
        <v>10599</v>
      </c>
      <c r="N75" s="29" t="s">
        <v>118</v>
      </c>
    </row>
    <row r="76" customFormat="false" ht="18" hidden="false" customHeight="true" outlineLevel="0" collapsed="false">
      <c r="B76" s="21" t="n">
        <v>71</v>
      </c>
      <c r="C76" s="22" t="n">
        <v>46228</v>
      </c>
      <c r="D76" s="21" t="s">
        <v>107</v>
      </c>
      <c r="E76" s="21" t="s">
        <v>108</v>
      </c>
      <c r="F76" s="23" t="s">
        <v>117</v>
      </c>
      <c r="G76" s="21" t="s">
        <v>80</v>
      </c>
      <c r="H76" s="21" t="s">
        <v>14</v>
      </c>
      <c r="I76" s="24" t="n">
        <v>4690</v>
      </c>
      <c r="J76" s="25" t="n">
        <v>1480</v>
      </c>
      <c r="K76" s="26" t="n">
        <v>3.16891891891892</v>
      </c>
      <c r="L76" s="26" t="n">
        <v>4690</v>
      </c>
      <c r="M76" s="26" t="n">
        <f aca="false">IF(K76="","",K76*Totales!$C$8)</f>
        <v>4690</v>
      </c>
      <c r="N76" s="23" t="s">
        <v>118</v>
      </c>
    </row>
    <row r="77" customFormat="false" ht="18" hidden="false" customHeight="true" outlineLevel="0" collapsed="false">
      <c r="B77" s="27" t="n">
        <v>72</v>
      </c>
      <c r="C77" s="28" t="n">
        <v>46230</v>
      </c>
      <c r="D77" s="27" t="s">
        <v>107</v>
      </c>
      <c r="E77" s="27" t="s">
        <v>108</v>
      </c>
      <c r="F77" s="29" t="s">
        <v>117</v>
      </c>
      <c r="G77" s="27" t="s">
        <v>80</v>
      </c>
      <c r="H77" s="27" t="s">
        <v>14</v>
      </c>
      <c r="I77" s="30" t="n">
        <v>21954</v>
      </c>
      <c r="J77" s="31" t="n">
        <v>1480</v>
      </c>
      <c r="K77" s="32" t="n">
        <v>14.8337837837838</v>
      </c>
      <c r="L77" s="32" t="n">
        <v>21954</v>
      </c>
      <c r="M77" s="32" t="n">
        <f aca="false">IF(K77="","",K77*Totales!$C$8)</f>
        <v>21954</v>
      </c>
      <c r="N77" s="29" t="s">
        <v>118</v>
      </c>
    </row>
    <row r="78" customFormat="false" ht="18" hidden="false" customHeight="true" outlineLevel="0" collapsed="false">
      <c r="B78" s="21" t="n">
        <v>73</v>
      </c>
      <c r="C78" s="22" t="n">
        <v>46231</v>
      </c>
      <c r="D78" s="21" t="s">
        <v>107</v>
      </c>
      <c r="E78" s="21" t="s">
        <v>108</v>
      </c>
      <c r="F78" s="23" t="s">
        <v>119</v>
      </c>
      <c r="G78" s="21" t="s">
        <v>80</v>
      </c>
      <c r="H78" s="21" t="s">
        <v>14</v>
      </c>
      <c r="I78" s="24" t="n">
        <v>6183</v>
      </c>
      <c r="J78" s="25" t="n">
        <v>1480</v>
      </c>
      <c r="K78" s="26" t="n">
        <v>4.1777027027027</v>
      </c>
      <c r="L78" s="26" t="n">
        <v>6183</v>
      </c>
      <c r="M78" s="26" t="n">
        <f aca="false">IF(K78="","",K78*Totales!$C$8)</f>
        <v>6183</v>
      </c>
      <c r="N78" s="23" t="s">
        <v>120</v>
      </c>
    </row>
    <row r="79" customFormat="false" ht="18" hidden="false" customHeight="true" outlineLevel="0" collapsed="false">
      <c r="B79" s="27" t="n">
        <v>74</v>
      </c>
      <c r="C79" s="28" t="n">
        <v>46232</v>
      </c>
      <c r="D79" s="27" t="s">
        <v>107</v>
      </c>
      <c r="E79" s="27" t="s">
        <v>108</v>
      </c>
      <c r="F79" s="29" t="s">
        <v>119</v>
      </c>
      <c r="G79" s="27" t="s">
        <v>80</v>
      </c>
      <c r="H79" s="27" t="s">
        <v>14</v>
      </c>
      <c r="I79" s="30" t="n">
        <v>6309</v>
      </c>
      <c r="J79" s="31" t="n">
        <v>1480</v>
      </c>
      <c r="K79" s="32" t="n">
        <v>4.26283783783784</v>
      </c>
      <c r="L79" s="32" t="n">
        <v>6309</v>
      </c>
      <c r="M79" s="32" t="n">
        <f aca="false">IF(K79="","",K79*Totales!$C$8)</f>
        <v>6309</v>
      </c>
      <c r="N79" s="29" t="s">
        <v>120</v>
      </c>
    </row>
    <row r="80" customFormat="false" ht="18" hidden="false" customHeight="true" outlineLevel="0" collapsed="false">
      <c r="B80" s="21" t="n">
        <v>75</v>
      </c>
      <c r="C80" s="22" t="n">
        <v>46235</v>
      </c>
      <c r="D80" s="21" t="s">
        <v>121</v>
      </c>
      <c r="E80" s="21" t="s">
        <v>108</v>
      </c>
      <c r="F80" s="23" t="s">
        <v>57</v>
      </c>
      <c r="G80" s="21" t="s">
        <v>55</v>
      </c>
      <c r="H80" s="21" t="s">
        <v>13</v>
      </c>
      <c r="I80" s="24" t="n">
        <v>6</v>
      </c>
      <c r="J80" s="25" t="n">
        <v>1</v>
      </c>
      <c r="K80" s="26" t="n">
        <v>6</v>
      </c>
      <c r="L80" s="26"/>
      <c r="M80" s="26" t="n">
        <f aca="false">IF(K80="","",K80*Totales!$C$8)</f>
        <v>8880</v>
      </c>
      <c r="N80" s="23" t="s">
        <v>122</v>
      </c>
    </row>
    <row r="81" customFormat="false" ht="18" hidden="false" customHeight="true" outlineLevel="0" collapsed="false">
      <c r="B81" s="27" t="n">
        <v>76</v>
      </c>
      <c r="C81" s="28" t="n">
        <v>46238</v>
      </c>
      <c r="D81" s="27" t="s">
        <v>121</v>
      </c>
      <c r="E81" s="27" t="s">
        <v>108</v>
      </c>
      <c r="F81" s="29" t="s">
        <v>123</v>
      </c>
      <c r="G81" s="27" t="s">
        <v>50</v>
      </c>
      <c r="H81" s="27" t="s">
        <v>13</v>
      </c>
      <c r="I81" s="30" t="n">
        <v>24</v>
      </c>
      <c r="J81" s="31" t="n">
        <v>1</v>
      </c>
      <c r="K81" s="32" t="n">
        <v>24</v>
      </c>
      <c r="L81" s="32"/>
      <c r="M81" s="32" t="n">
        <f aca="false">IF(K81="","",K81*Totales!$C$8)</f>
        <v>35520</v>
      </c>
      <c r="N81" s="29" t="s">
        <v>124</v>
      </c>
    </row>
    <row r="82" customFormat="false" ht="18" hidden="false" customHeight="true" outlineLevel="0" collapsed="false">
      <c r="B82" s="21" t="n">
        <v>77</v>
      </c>
      <c r="C82" s="22" t="n">
        <v>46238</v>
      </c>
      <c r="D82" s="21" t="s">
        <v>121</v>
      </c>
      <c r="E82" s="21" t="s">
        <v>108</v>
      </c>
      <c r="F82" s="23" t="s">
        <v>63</v>
      </c>
      <c r="G82" s="21" t="s">
        <v>55</v>
      </c>
      <c r="H82" s="21" t="s">
        <v>13</v>
      </c>
      <c r="I82" s="24" t="n">
        <v>5</v>
      </c>
      <c r="J82" s="25" t="n">
        <v>1</v>
      </c>
      <c r="K82" s="26" t="n">
        <v>5</v>
      </c>
      <c r="L82" s="26"/>
      <c r="M82" s="26" t="n">
        <f aca="false">IF(K82="","",K82*Totales!$C$8)</f>
        <v>7400</v>
      </c>
      <c r="N82" s="23" t="s">
        <v>124</v>
      </c>
    </row>
    <row r="83" customFormat="false" ht="18" hidden="false" customHeight="true" outlineLevel="0" collapsed="false">
      <c r="B83" s="33" t="n">
        <v>78</v>
      </c>
      <c r="C83" s="34" t="n">
        <v>46240</v>
      </c>
      <c r="D83" s="33" t="s">
        <v>121</v>
      </c>
      <c r="E83" s="33" t="s">
        <v>125</v>
      </c>
      <c r="F83" s="35" t="s">
        <v>126</v>
      </c>
      <c r="G83" s="33" t="s">
        <v>80</v>
      </c>
      <c r="H83" s="33" t="s">
        <v>14</v>
      </c>
      <c r="I83" s="36" t="n">
        <v>18050</v>
      </c>
      <c r="J83" s="37" t="n">
        <v>1480</v>
      </c>
      <c r="K83" s="38" t="n">
        <v>12.195945945946</v>
      </c>
      <c r="L83" s="38" t="n">
        <v>18050</v>
      </c>
      <c r="M83" s="38" t="n">
        <f aca="false">IF(K83="","",K83*Totales!$C$8)</f>
        <v>18050</v>
      </c>
      <c r="N83" s="35" t="s">
        <v>127</v>
      </c>
    </row>
    <row r="84" customFormat="false" ht="18" hidden="false" customHeight="true" outlineLevel="0" collapsed="false">
      <c r="B84" s="21" t="n">
        <v>79</v>
      </c>
      <c r="C84" s="22" t="n">
        <v>46240</v>
      </c>
      <c r="D84" s="21" t="s">
        <v>121</v>
      </c>
      <c r="E84" s="21" t="s">
        <v>108</v>
      </c>
      <c r="F84" s="23" t="s">
        <v>128</v>
      </c>
      <c r="G84" s="21" t="s">
        <v>80</v>
      </c>
      <c r="H84" s="21" t="s">
        <v>14</v>
      </c>
      <c r="I84" s="24" t="n">
        <v>5828</v>
      </c>
      <c r="J84" s="25" t="n">
        <v>1480</v>
      </c>
      <c r="K84" s="26" t="n">
        <v>3.93783783783784</v>
      </c>
      <c r="L84" s="26" t="n">
        <v>5828</v>
      </c>
      <c r="M84" s="26" t="n">
        <f aca="false">IF(K84="","",K84*Totales!$C$8)</f>
        <v>5828</v>
      </c>
      <c r="N84" s="23" t="s">
        <v>120</v>
      </c>
    </row>
    <row r="85" customFormat="false" ht="18" hidden="false" customHeight="true" outlineLevel="0" collapsed="false">
      <c r="B85" s="27" t="n">
        <v>80</v>
      </c>
      <c r="C85" s="28" t="n">
        <v>46241</v>
      </c>
      <c r="D85" s="27" t="s">
        <v>121</v>
      </c>
      <c r="E85" s="27" t="s">
        <v>108</v>
      </c>
      <c r="F85" s="29" t="s">
        <v>117</v>
      </c>
      <c r="G85" s="27" t="s">
        <v>80</v>
      </c>
      <c r="H85" s="27" t="s">
        <v>14</v>
      </c>
      <c r="I85" s="30" t="n">
        <v>15412</v>
      </c>
      <c r="J85" s="31" t="n">
        <v>1480</v>
      </c>
      <c r="K85" s="32" t="n">
        <v>10.4135135135135</v>
      </c>
      <c r="L85" s="32" t="n">
        <v>15412</v>
      </c>
      <c r="M85" s="32" t="n">
        <f aca="false">IF(K85="","",K85*Totales!$C$8)</f>
        <v>15412</v>
      </c>
      <c r="N85" s="29" t="s">
        <v>118</v>
      </c>
    </row>
    <row r="86" customFormat="false" ht="18" hidden="false" customHeight="true" outlineLevel="0" collapsed="false">
      <c r="B86" s="21" t="n">
        <v>81</v>
      </c>
      <c r="C86" s="22" t="n">
        <v>46242</v>
      </c>
      <c r="D86" s="21" t="s">
        <v>121</v>
      </c>
      <c r="E86" s="21" t="s">
        <v>108</v>
      </c>
      <c r="F86" s="23" t="s">
        <v>117</v>
      </c>
      <c r="G86" s="21" t="s">
        <v>80</v>
      </c>
      <c r="H86" s="21" t="s">
        <v>14</v>
      </c>
      <c r="I86" s="24" t="n">
        <v>10434</v>
      </c>
      <c r="J86" s="25" t="n">
        <v>1480</v>
      </c>
      <c r="K86" s="26" t="n">
        <v>7.05</v>
      </c>
      <c r="L86" s="26" t="n">
        <v>10434</v>
      </c>
      <c r="M86" s="26" t="n">
        <f aca="false">IF(K86="","",K86*Totales!$C$8)</f>
        <v>10434</v>
      </c>
      <c r="N86" s="23" t="s">
        <v>118</v>
      </c>
    </row>
    <row r="87" customFormat="false" ht="18" hidden="false" customHeight="true" outlineLevel="0" collapsed="false">
      <c r="B87" s="27" t="n">
        <v>82</v>
      </c>
      <c r="C87" s="28" t="n">
        <v>46243</v>
      </c>
      <c r="D87" s="27" t="s">
        <v>121</v>
      </c>
      <c r="E87" s="27" t="s">
        <v>108</v>
      </c>
      <c r="F87" s="29" t="s">
        <v>117</v>
      </c>
      <c r="G87" s="27" t="s">
        <v>80</v>
      </c>
      <c r="H87" s="27" t="s">
        <v>14</v>
      </c>
      <c r="I87" s="30" t="n">
        <v>11013</v>
      </c>
      <c r="J87" s="31" t="n">
        <v>1480</v>
      </c>
      <c r="K87" s="32" t="n">
        <v>7.44121621621622</v>
      </c>
      <c r="L87" s="32" t="n">
        <v>11013</v>
      </c>
      <c r="M87" s="32" t="n">
        <f aca="false">IF(K87="","",K87*Totales!$C$8)</f>
        <v>11013</v>
      </c>
      <c r="N87" s="29" t="s">
        <v>118</v>
      </c>
    </row>
    <row r="88" customFormat="false" ht="18" hidden="false" customHeight="true" outlineLevel="0" collapsed="false">
      <c r="B88" s="21" t="n">
        <v>83</v>
      </c>
      <c r="C88" s="22" t="n">
        <v>46244</v>
      </c>
      <c r="D88" s="21" t="s">
        <v>121</v>
      </c>
      <c r="E88" s="21" t="s">
        <v>108</v>
      </c>
      <c r="F88" s="23" t="s">
        <v>117</v>
      </c>
      <c r="G88" s="21" t="s">
        <v>80</v>
      </c>
      <c r="H88" s="21" t="s">
        <v>14</v>
      </c>
      <c r="I88" s="24" t="n">
        <v>17312</v>
      </c>
      <c r="J88" s="25" t="n">
        <v>1480</v>
      </c>
      <c r="K88" s="26" t="n">
        <v>11.6972972972973</v>
      </c>
      <c r="L88" s="26" t="n">
        <v>17312</v>
      </c>
      <c r="M88" s="26" t="n">
        <f aca="false">IF(K88="","",K88*Totales!$C$8)</f>
        <v>17312</v>
      </c>
      <c r="N88" s="23" t="s">
        <v>118</v>
      </c>
    </row>
    <row r="89" customFormat="false" ht="18" hidden="false" customHeight="true" outlineLevel="0" collapsed="false">
      <c r="B89" s="27" t="n">
        <v>84</v>
      </c>
      <c r="C89" s="28" t="n">
        <v>46244</v>
      </c>
      <c r="D89" s="27" t="s">
        <v>121</v>
      </c>
      <c r="E89" s="27" t="s">
        <v>108</v>
      </c>
      <c r="F89" s="29" t="s">
        <v>117</v>
      </c>
      <c r="G89" s="27" t="s">
        <v>80</v>
      </c>
      <c r="H89" s="27" t="s">
        <v>14</v>
      </c>
      <c r="I89" s="30" t="n">
        <v>7500</v>
      </c>
      <c r="J89" s="31" t="n">
        <v>1480</v>
      </c>
      <c r="K89" s="32" t="n">
        <v>5.06756756756757</v>
      </c>
      <c r="L89" s="32" t="n">
        <v>7500</v>
      </c>
      <c r="M89" s="32" t="n">
        <f aca="false">IF(K89="","",K89*Totales!$C$8)</f>
        <v>7500</v>
      </c>
      <c r="N89" s="29" t="s">
        <v>118</v>
      </c>
    </row>
    <row r="90" customFormat="false" ht="18" hidden="false" customHeight="true" outlineLevel="0" collapsed="false">
      <c r="B90" s="21" t="n">
        <v>85</v>
      </c>
      <c r="C90" s="22" t="n">
        <v>46244</v>
      </c>
      <c r="D90" s="21" t="s">
        <v>121</v>
      </c>
      <c r="E90" s="21" t="s">
        <v>108</v>
      </c>
      <c r="F90" s="23" t="s">
        <v>117</v>
      </c>
      <c r="G90" s="21" t="s">
        <v>80</v>
      </c>
      <c r="H90" s="21" t="s">
        <v>14</v>
      </c>
      <c r="I90" s="24" t="n">
        <v>3462</v>
      </c>
      <c r="J90" s="25" t="n">
        <v>1480</v>
      </c>
      <c r="K90" s="26" t="n">
        <v>2.33918918918919</v>
      </c>
      <c r="L90" s="26" t="n">
        <v>3462</v>
      </c>
      <c r="M90" s="26" t="n">
        <f aca="false">IF(K90="","",K90*Totales!$C$8)</f>
        <v>3462</v>
      </c>
      <c r="N90" s="23" t="s">
        <v>118</v>
      </c>
    </row>
    <row r="91" customFormat="false" ht="18" hidden="false" customHeight="true" outlineLevel="0" collapsed="false">
      <c r="B91" s="33" t="n">
        <v>86</v>
      </c>
      <c r="C91" s="34" t="n">
        <v>46246</v>
      </c>
      <c r="D91" s="33" t="s">
        <v>121</v>
      </c>
      <c r="E91" s="33" t="s">
        <v>125</v>
      </c>
      <c r="F91" s="35" t="s">
        <v>129</v>
      </c>
      <c r="G91" s="33" t="s">
        <v>50</v>
      </c>
      <c r="H91" s="33" t="s">
        <v>130</v>
      </c>
      <c r="I91" s="36" t="n">
        <v>98.17</v>
      </c>
      <c r="J91" s="37" t="n">
        <v>1</v>
      </c>
      <c r="K91" s="38" t="n">
        <v>98.17</v>
      </c>
      <c r="L91" s="38"/>
      <c r="M91" s="38" t="n">
        <f aca="false">IF(K91="","",K91*Totales!$C$8)</f>
        <v>145291.6</v>
      </c>
      <c r="N91" s="35" t="s">
        <v>131</v>
      </c>
    </row>
    <row r="92" customFormat="false" ht="18" hidden="false" customHeight="true" outlineLevel="0" collapsed="false">
      <c r="B92" s="33" t="n">
        <v>87</v>
      </c>
      <c r="C92" s="34" t="n">
        <v>46247</v>
      </c>
      <c r="D92" s="33" t="s">
        <v>121</v>
      </c>
      <c r="E92" s="33" t="s">
        <v>125</v>
      </c>
      <c r="F92" s="35" t="s">
        <v>132</v>
      </c>
      <c r="G92" s="33" t="s">
        <v>80</v>
      </c>
      <c r="H92" s="33" t="s">
        <v>130</v>
      </c>
      <c r="I92" s="36" t="n">
        <v>4.65</v>
      </c>
      <c r="J92" s="37" t="n">
        <v>1</v>
      </c>
      <c r="K92" s="38" t="n">
        <v>4.65</v>
      </c>
      <c r="L92" s="38"/>
      <c r="M92" s="38" t="n">
        <f aca="false">IF(K92="","",K92*Totales!$C$8)</f>
        <v>6882</v>
      </c>
      <c r="N92" s="35" t="s">
        <v>133</v>
      </c>
    </row>
    <row r="93" customFormat="false" ht="18" hidden="false" customHeight="true" outlineLevel="0" collapsed="false">
      <c r="B93" s="33" t="n">
        <v>88</v>
      </c>
      <c r="C93" s="34" t="n">
        <v>46247</v>
      </c>
      <c r="D93" s="33" t="s">
        <v>121</v>
      </c>
      <c r="E93" s="33" t="s">
        <v>125</v>
      </c>
      <c r="F93" s="35" t="s">
        <v>132</v>
      </c>
      <c r="G93" s="33" t="s">
        <v>80</v>
      </c>
      <c r="H93" s="33" t="s">
        <v>130</v>
      </c>
      <c r="I93" s="36" t="n">
        <v>4.4</v>
      </c>
      <c r="J93" s="37" t="n">
        <v>1</v>
      </c>
      <c r="K93" s="38" t="n">
        <v>4.4</v>
      </c>
      <c r="L93" s="38"/>
      <c r="M93" s="38" t="n">
        <f aca="false">IF(K93="","",K93*Totales!$C$8)</f>
        <v>6512</v>
      </c>
      <c r="N93" s="35" t="s">
        <v>133</v>
      </c>
    </row>
    <row r="94" customFormat="false" ht="18" hidden="false" customHeight="true" outlineLevel="0" collapsed="false">
      <c r="B94" s="33" t="n">
        <v>89</v>
      </c>
      <c r="C94" s="34" t="n">
        <v>46249</v>
      </c>
      <c r="D94" s="33" t="s">
        <v>121</v>
      </c>
      <c r="E94" s="33" t="s">
        <v>125</v>
      </c>
      <c r="F94" s="35" t="s">
        <v>132</v>
      </c>
      <c r="G94" s="33" t="s">
        <v>80</v>
      </c>
      <c r="H94" s="33" t="s">
        <v>130</v>
      </c>
      <c r="I94" s="36" t="n">
        <v>7.42</v>
      </c>
      <c r="J94" s="37" t="n">
        <v>1</v>
      </c>
      <c r="K94" s="38" t="n">
        <v>7.42</v>
      </c>
      <c r="L94" s="38"/>
      <c r="M94" s="38" t="n">
        <f aca="false">IF(K94="","",K94*Totales!$C$8)</f>
        <v>10981.6</v>
      </c>
      <c r="N94" s="35" t="s">
        <v>134</v>
      </c>
    </row>
    <row r="95" customFormat="false" ht="18" hidden="false" customHeight="true" outlineLevel="0" collapsed="false">
      <c r="B95" s="33" t="n">
        <v>90</v>
      </c>
      <c r="C95" s="34" t="n">
        <v>46265</v>
      </c>
      <c r="D95" s="33" t="s">
        <v>121</v>
      </c>
      <c r="E95" s="33" t="s">
        <v>125</v>
      </c>
      <c r="F95" s="35" t="s">
        <v>132</v>
      </c>
      <c r="G95" s="33" t="s">
        <v>80</v>
      </c>
      <c r="H95" s="33" t="s">
        <v>14</v>
      </c>
      <c r="I95" s="36" t="n">
        <v>5971</v>
      </c>
      <c r="J95" s="37" t="n">
        <v>1480</v>
      </c>
      <c r="K95" s="38" t="n">
        <v>4.03445945945946</v>
      </c>
      <c r="L95" s="38" t="n">
        <v>5971</v>
      </c>
      <c r="M95" s="38" t="n">
        <f aca="false">IF(K95="","",K95*Totales!$C$8)</f>
        <v>5971</v>
      </c>
      <c r="N95" s="35" t="s">
        <v>135</v>
      </c>
    </row>
    <row r="96" customFormat="false" ht="18" hidden="false" customHeight="true" outlineLevel="0" collapsed="false">
      <c r="B96" s="21" t="n">
        <v>91</v>
      </c>
      <c r="C96" s="22" t="n">
        <v>46266</v>
      </c>
      <c r="D96" s="21" t="s">
        <v>136</v>
      </c>
      <c r="E96" s="21" t="s">
        <v>125</v>
      </c>
      <c r="F96" s="23" t="s">
        <v>137</v>
      </c>
      <c r="G96" s="21" t="s">
        <v>55</v>
      </c>
      <c r="H96" s="21" t="s">
        <v>14</v>
      </c>
      <c r="I96" s="24" t="n">
        <v>11534.97</v>
      </c>
      <c r="J96" s="25" t="n">
        <v>1480</v>
      </c>
      <c r="K96" s="26" t="n">
        <v>7.79389864864865</v>
      </c>
      <c r="L96" s="26" t="n">
        <v>11534.97</v>
      </c>
      <c r="M96" s="26" t="n">
        <f aca="false">IF(K96="","",K96*Totales!$C$8)</f>
        <v>11534.97</v>
      </c>
      <c r="N96" s="23" t="s">
        <v>138</v>
      </c>
    </row>
    <row r="97" customFormat="false" ht="18" hidden="false" customHeight="true" outlineLevel="0" collapsed="false">
      <c r="B97" s="27" t="n">
        <v>92</v>
      </c>
      <c r="C97" s="28" t="n">
        <v>46271</v>
      </c>
      <c r="D97" s="27" t="s">
        <v>136</v>
      </c>
      <c r="E97" s="27" t="s">
        <v>125</v>
      </c>
      <c r="F97" s="29" t="s">
        <v>139</v>
      </c>
      <c r="G97" s="27" t="s">
        <v>80</v>
      </c>
      <c r="H97" s="27" t="s">
        <v>14</v>
      </c>
      <c r="I97" s="30" t="n">
        <v>27700</v>
      </c>
      <c r="J97" s="31" t="n">
        <v>1480</v>
      </c>
      <c r="K97" s="32" t="n">
        <v>18.7162162162162</v>
      </c>
      <c r="L97" s="32" t="n">
        <v>27700</v>
      </c>
      <c r="M97" s="32" t="n">
        <f aca="false">IF(K97="","",K97*Totales!$C$8)</f>
        <v>27700</v>
      </c>
      <c r="N97" s="29" t="s">
        <v>140</v>
      </c>
    </row>
    <row r="98" customFormat="false" ht="15" hidden="false" customHeight="false" outlineLevel="0" collapsed="false">
      <c r="B98" s="10" t="s">
        <v>31</v>
      </c>
      <c r="C98" s="10"/>
      <c r="D98" s="10"/>
      <c r="E98" s="10"/>
      <c r="F98" s="10"/>
      <c r="G98" s="10"/>
      <c r="H98" s="10"/>
      <c r="I98" s="10"/>
      <c r="J98" s="10"/>
      <c r="K98" s="39" t="n">
        <f aca="false">SUM(K6:K97)</f>
        <v>1120.99939408062</v>
      </c>
      <c r="L98" s="39" t="n">
        <f aca="false">SUM(L6:L97)</f>
        <v>579358.97</v>
      </c>
      <c r="M98" s="39" t="n">
        <f aca="false">SUM(M6:M97)</f>
        <v>1659079.10323932</v>
      </c>
      <c r="N98" s="10"/>
    </row>
  </sheetData>
  <mergeCells count="3">
    <mergeCell ref="B2:N2"/>
    <mergeCell ref="B3:N3"/>
    <mergeCell ref="B98:J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</cols>
  <sheetData>
    <row r="2" customFormat="false" ht="19.7" hidden="false" customHeight="false" outlineLevel="0" collapsed="false">
      <c r="B2" s="1" t="s">
        <v>141</v>
      </c>
      <c r="C2" s="1"/>
      <c r="D2" s="1"/>
      <c r="E2" s="1"/>
      <c r="F2" s="1"/>
    </row>
    <row r="5" customFormat="false" ht="15" hidden="false" customHeight="true" outlineLevel="0" collapsed="false">
      <c r="B5" s="40" t="s">
        <v>142</v>
      </c>
      <c r="C5" s="40"/>
      <c r="D5" s="40"/>
      <c r="E5" s="40"/>
      <c r="F5" s="40"/>
    </row>
    <row r="6" customFormat="false" ht="15" hidden="false" customHeight="false" outlineLevel="0" collapsed="false">
      <c r="B6" s="40"/>
      <c r="C6" s="40"/>
      <c r="D6" s="40"/>
      <c r="E6" s="40"/>
      <c r="F6" s="40"/>
    </row>
    <row r="7" customFormat="false" ht="15" hidden="false" customHeight="false" outlineLevel="0" collapsed="false">
      <c r="B7" s="40"/>
      <c r="C7" s="40"/>
      <c r="D7" s="40"/>
      <c r="E7" s="40"/>
      <c r="F7" s="40"/>
    </row>
  </sheetData>
  <mergeCells count="2">
    <mergeCell ref="B2:F2"/>
    <mergeCell ref="B5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2026-09-07T19:31:04Z</dcterms:created>
  <dc:creator>openpyxl</dc:creator>
  <dc:description/>
  <dc:language>en-US</dc:language>
  <cp:lastModifiedBy/>
  <dcterms:modified xsi:type="dcterms:W3CDTF">2026-09-07T19:31:04Z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