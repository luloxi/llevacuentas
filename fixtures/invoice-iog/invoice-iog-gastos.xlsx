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otales" sheetId="1" state="visible" r:id="rId3"/>
    <sheet name="Gastos" sheetId="2" state="visible" r:id="rId4"/>
    <sheet name="Excluidos" sheetId="3" state="visible" r:id="rId5"/>
    <sheet name="Criterio" sheetId="4" state="visible" r:id="rId6"/>
  </sheets>
  <definedNames>
    <definedName function="false" hidden="false" localSheetId="1" name="_xlnm.Print_Area" vbProcedure="false">Gastos!$B$2:$N$74</definedName>
    <definedName function="false" hidden="false" localSheetId="1" name="_xlnm.Print_Titles" vbProcedure="false">Gastos!$1:$5</definedName>
    <definedName function="false" hidden="false" localSheetId="0" name="_xlnm.Print_Area" vbProcedure="false">Totales!$B$2:$F$47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<sst xmlns="http://schemas.openxmlformats.org/spreadsheetml/2006/main" count="579" uniqueCount="146">
  <si>
    <t xml:space="preserve">Gastos de Luciano · totales</t>
  </si>
  <si>
    <t xml:space="preserve">Los importes en USD salen de la columna SUBTOTAL in USD de la fuente. El peso de liquidación se edita abajo.</t>
  </si>
  <si>
    <t xml:space="preserve">Supuestos</t>
  </si>
  <si>
    <t xml:space="preserve">Concepto</t>
  </si>
  <si>
    <t xml:space="preserve">Valor</t>
  </si>
  <si>
    <t xml:space="preserve">Nota</t>
  </si>
  <si>
    <t xml:space="preserve">Adelanto recibido (ARS)</t>
  </si>
  <si>
    <t xml:space="preserve">Pago en pesos hace tres meses.</t>
  </si>
  <si>
    <t xml:space="preserve">TC liquidación · compra oficial (ARS por USD)</t>
  </si>
  <si>
    <t xml:space="preserve">Cierre Nación 4 sep 2026. Celda editable. Recalcula la columna ARS al TC liquidación.</t>
  </si>
  <si>
    <t xml:space="preserve">TC adelanto · compra BBVA 5 jun 2026</t>
  </si>
  <si>
    <t xml:space="preserve">Punta compra BBVA ese día.</t>
  </si>
  <si>
    <t xml:space="preserve">Resultado</t>
  </si>
  <si>
    <t xml:space="preserve">USD</t>
  </si>
  <si>
    <t xml:space="preserve">ARS</t>
  </si>
  <si>
    <t xml:space="preserve">Total gastos únicos</t>
  </si>
  <si>
    <t xml:space="preserve">Adelanto recibido</t>
  </si>
  <si>
    <t xml:space="preserve">Saldo a devolver</t>
  </si>
  <si>
    <t xml:space="preserve">Por mes</t>
  </si>
  <si>
    <t xml:space="preserve">Mes</t>
  </si>
  <si>
    <t xml:space="preserve">Ítems</t>
  </si>
  <si>
    <t xml:space="preserve">ARS al TC liquidación</t>
  </si>
  <si>
    <t xml:space="preserve">Enero 2026</t>
  </si>
  <si>
    <t xml:space="preserve">Febrero 2026</t>
  </si>
  <si>
    <t xml:space="preserve">Marzo 2026</t>
  </si>
  <si>
    <t xml:space="preserve">Abril 2026</t>
  </si>
  <si>
    <t xml:space="preserve">Mayo 2026</t>
  </si>
  <si>
    <t xml:space="preserve">Junio 2026</t>
  </si>
  <si>
    <t xml:space="preserve">Julio 2026</t>
  </si>
  <si>
    <t xml:space="preserve">Agosto 2026</t>
  </si>
  <si>
    <t xml:space="preserve">Diciembre 2026 (fechas SuperGrok)</t>
  </si>
  <si>
    <t xml:space="preserve">Total meses</t>
  </si>
  <si>
    <t xml:space="preserve">Por rubro</t>
  </si>
  <si>
    <t xml:space="preserve">Rubro</t>
  </si>
  <si>
    <t xml:space="preserve">Participación</t>
  </si>
  <si>
    <t xml:space="preserve">Herramientas AI</t>
  </si>
  <si>
    <t xml:space="preserve">Infra y cloud</t>
  </si>
  <si>
    <t xml:space="preserve">Movilidad</t>
  </si>
  <si>
    <t xml:space="preserve">Eventos y extras</t>
  </si>
  <si>
    <t xml:space="preserve">Hardware</t>
  </si>
  <si>
    <t xml:space="preserve">Otros</t>
  </si>
  <si>
    <t xml:space="preserve">Total rubros</t>
  </si>
  <si>
    <t xml:space="preserve">Por invoice de origen</t>
  </si>
  <si>
    <t xml:space="preserve">Invoice</t>
  </si>
  <si>
    <t xml:space="preserve">Invoice 0027</t>
  </si>
  <si>
    <t xml:space="preserve">Invoice 0028</t>
  </si>
  <si>
    <t xml:space="preserve">Invoice 0030</t>
  </si>
  <si>
    <t xml:space="preserve">Invoice 0036</t>
  </si>
  <si>
    <t xml:space="preserve">Invoice 0037</t>
  </si>
  <si>
    <t xml:space="preserve">Total invoices</t>
  </si>
  <si>
    <t xml:space="preserve">Gastos de Luciano · detalle por comprobante</t>
  </si>
  <si>
    <t xml:space="preserve">Fuente: planilla Invoices de Luciano y carpeta Drive de invoices. Líneas repetidas fuera de esta hoja. Corte de la fuente: 24 de julio de 2026. Armado: 7 de septiembre de 2026.</t>
  </si>
  <si>
    <t xml:space="preserve">N</t>
  </si>
  <si>
    <t xml:space="preserve">Fecha</t>
  </si>
  <si>
    <t xml:space="preserve">Descripción</t>
  </si>
  <si>
    <t xml:space="preserve">Moneda original</t>
  </si>
  <si>
    <t xml:space="preserve">Importe original</t>
  </si>
  <si>
    <t xml:space="preserve">Tipo de cambio fuente</t>
  </si>
  <si>
    <t xml:space="preserve">ARS pagados (si fue en pesos)</t>
  </si>
  <si>
    <t xml:space="preserve">Comprobante</t>
  </si>
  <si>
    <t xml:space="preserve">2026-01</t>
  </si>
  <si>
    <t xml:space="preserve">A.I. Tools - Digital Ocean usage charge</t>
  </si>
  <si>
    <t xml:space="preserve">Abrir</t>
  </si>
  <si>
    <t xml:space="preserve">Cloud storage for internal app</t>
  </si>
  <si>
    <t xml:space="preserve">A.I. Tools - ChatGPT Plus subscription</t>
  </si>
  <si>
    <t xml:space="preserve">DigitalOcean</t>
  </si>
  <si>
    <t xml:space="preserve">Sin enlace</t>
  </si>
  <si>
    <t xml:space="preserve">A.I. Tools - Cursor Pro subscription</t>
  </si>
  <si>
    <t xml:space="preserve">A.I. Tools - OpenAI API usage credit #1</t>
  </si>
  <si>
    <t xml:space="preserve">A.I. Tools - OpenAI API usage credit #2</t>
  </si>
  <si>
    <t xml:space="preserve">A.I. Tools - Claude Pro subscription</t>
  </si>
  <si>
    <t xml:space="preserve">2026-02</t>
  </si>
  <si>
    <t xml:space="preserve">Vercel Pro plan</t>
  </si>
  <si>
    <t xml:space="preserve">Railway Hobby plan</t>
  </si>
  <si>
    <t xml:space="preserve">Railway Pro plan</t>
  </si>
  <si>
    <t xml:space="preserve">A.I. Tools - OpenAI API credit usage</t>
  </si>
  <si>
    <t xml:space="preserve">2026-03</t>
  </si>
  <si>
    <t xml:space="preserve">Vercel usage for internal apps</t>
  </si>
  <si>
    <t xml:space="preserve">Railway usage for internal apps</t>
  </si>
  <si>
    <t xml:space="preserve">Google Cloud usage</t>
  </si>
  <si>
    <t xml:space="preserve">TapTools API service</t>
  </si>
  <si>
    <t xml:space="preserve">Consumptions at the hotel - Buidler Fest</t>
  </si>
  <si>
    <t xml:space="preserve">2026-04</t>
  </si>
  <si>
    <t xml:space="preserve">A.I. Tools - Claude Pro plan</t>
  </si>
  <si>
    <t xml:space="preserve">Digital Ocean subscription</t>
  </si>
  <si>
    <t xml:space="preserve">Vercel usage for internal app</t>
  </si>
  <si>
    <t xml:space="preserve">Uber</t>
  </si>
  <si>
    <t xml:space="preserve">Uber from the office</t>
  </si>
  <si>
    <t xml:space="preserve">Uber to the office</t>
  </si>
  <si>
    <t xml:space="preserve">Uber during Escobar workshop</t>
  </si>
  <si>
    <t xml:space="preserve">Uber to bring merchandise to the office (return) - Universities Day</t>
  </si>
  <si>
    <t xml:space="preserve">Uber to bring merchandise to the office - Universities Day</t>
  </si>
  <si>
    <t xml:space="preserve">Uber to Escobar workshop</t>
  </si>
  <si>
    <t xml:space="preserve">Late Uber from the office</t>
  </si>
  <si>
    <t xml:space="preserve">2026-05</t>
  </si>
  <si>
    <t xml:space="preserve">Railway subscription</t>
  </si>
  <si>
    <t xml:space="preserve">Uber to the office for Product Day event (rainy Saturday)</t>
  </si>
  <si>
    <t xml:space="preserve">Vercel Subscription</t>
  </si>
  <si>
    <t xml:space="preserve">Late return from office Uber trip</t>
  </si>
  <si>
    <t xml:space="preserve">A.I. tools - paper.design subscription</t>
  </si>
  <si>
    <t xml:space="preserve">Paper Pro</t>
  </si>
  <si>
    <t xml:space="preserve">Claude Pro</t>
  </si>
  <si>
    <t xml:space="preserve">2026-06</t>
  </si>
  <si>
    <t xml:space="preserve">DigitalOcean service</t>
  </si>
  <si>
    <t xml:space="preserve">Hardware - WiFi adapter</t>
  </si>
  <si>
    <t xml:space="preserve">OpenAI API usage credit</t>
  </si>
  <si>
    <t xml:space="preserve">Getting hardware return UberX trip</t>
  </si>
  <si>
    <t xml:space="preserve">Welcome souvenir from La Casa del Dulce de Leche</t>
  </si>
  <si>
    <t xml:space="preserve">Getting hardware Uber trip</t>
  </si>
  <si>
    <t xml:space="preserve">Vercel Pro</t>
  </si>
  <si>
    <t xml:space="preserve">Late return from office DiDi travel</t>
  </si>
  <si>
    <t xml:space="preserve">2026-07</t>
  </si>
  <si>
    <t xml:space="preserve">Uber trip</t>
  </si>
  <si>
    <t xml:space="preserve">Uber ride</t>
  </si>
  <si>
    <t xml:space="preserve">Viaje Uber</t>
  </si>
  <si>
    <t xml:space="preserve">Viaje en Uber</t>
  </si>
  <si>
    <t xml:space="preserve">2026-12</t>
  </si>
  <si>
    <t xml:space="preserve">SuperGrok</t>
  </si>
  <si>
    <t xml:space="preserve">Total (líneas únicas)</t>
  </si>
  <si>
    <t xml:space="preserve">Líneas no incluidas (repetidas)</t>
  </si>
  <si>
    <t xml:space="preserve">No suman al total. Quedan para control.</t>
  </si>
  <si>
    <t xml:space="preserve">Moneda</t>
  </si>
  <si>
    <t xml:space="preserve">Motivo</t>
  </si>
  <si>
    <t xml:space="preserve">Segunda carga de Claude Pro 31/01/2026 en Invoice 0027.</t>
  </si>
  <si>
    <t xml:space="preserve">Segunda carga de cloud storage marzo 2026 en Invoice 0028.</t>
  </si>
  <si>
    <t xml:space="preserve">Invoice 0029</t>
  </si>
  <si>
    <t xml:space="preserve">Fila marcada Duplicado (Invoice 0029). Misma carrera valuada en Invoice 0030.</t>
  </si>
  <si>
    <t xml:space="preserve">Invoice 0033</t>
  </si>
  <si>
    <t xml:space="preserve">Invoice 0033 copia el lote de Invoice 0030.</t>
  </si>
  <si>
    <t xml:space="preserve">Uber to Escobar</t>
  </si>
  <si>
    <t xml:space="preserve">Uber - Escobar Meeting</t>
  </si>
  <si>
    <t xml:space="preserve">Vercel Pro 13/06/2026 ya cargado en Invoice 0037.</t>
  </si>
  <si>
    <t xml:space="preserve">Suma excluida (no cobra)</t>
  </si>
  <si>
    <t xml:space="preserve">Criterio de armado</t>
  </si>
  <si>
    <t xml:space="preserve">Tema</t>
  </si>
  <si>
    <t xml:space="preserve">Detalle</t>
  </si>
  <si>
    <t xml:space="preserve">Fuente</t>
  </si>
  <si>
    <t xml:space="preserve">Planilla Invoices de Luciano y subcarpetas mensuales de Drive. Todas las filas de la fuente figuran pagadas por Luciano.</t>
  </si>
  <si>
    <t xml:space="preserve">Qué entra</t>
  </si>
  <si>
    <t xml:space="preserve">68 comprobantes únicos. Incluye los dos SuperGrok de USD 9,90. El mes es el de la fecha del comprobante.</t>
  </si>
  <si>
    <t xml:space="preserve">Qué sale</t>
  </si>
  <si>
    <t xml:space="preserve">Invoice 0033 (copia de 0030), fila Duplicado de 0029, Claude Pro 31/01 cargado dos veces, cloud storage de marzo cargado dos veces, Vercel Pro 13/06 cargado dos veces.</t>
  </si>
  <si>
    <t xml:space="preserve">Pesos y dólares</t>
  </si>
  <si>
    <t xml:space="preserve">USD: columna SUBTOTAL in USD de la fuente. ARS pagados: solo si el gasto fue en pesos. ARS al TC liquidación: USD × celda amarilla C8 de Totales (1.480 al cierre del 4/9/2026).</t>
  </si>
  <si>
    <t xml:space="preserve">Fuera de alcance</t>
  </si>
  <si>
    <t xml:space="preserve">Uber del 7 de agosto del Documento Invoice Agosto, sin monto. Grok 100 y Grok 24 mencionados después, no estaban en los documentos. Un mes extra de DigitalOcean tampoco estaba valuado después del 24/7.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</si>
</sst>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#,##0.00"/>
    <numFmt numFmtId="167" formatCode="\$#,##0.00;&quot;($&quot;#,##0.00\);\-"/>
    <numFmt numFmtId="168" formatCode="#,##0;\(#,##0\);\-"/>
    <numFmt numFmtId="169" formatCode="0.0%"/>
    <numFmt numFmtId="170" formatCode="yyyy\-mm\-dd"/>
    <numFmt numFmtId="171" formatCode="#,##0.00;\(#,##0.00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3A4B"/>
      <name val="Arial"/>
      <family val="0"/>
      <charset val="1"/>
    </font>
    <font>
      <i val="true"/>
      <sz val="10"/>
      <color rgb="FF5C6570"/>
      <name val="Arial"/>
      <family val="0"/>
      <charset val="1"/>
    </font>
    <font>
      <b val="true"/>
      <sz val="12"/>
      <color rgb="FF1B3A4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A1A1A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C657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u val="single"/>
      <sz val="9"/>
      <color rgb="FF1B4F72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3A4B"/>
        <bgColor rgb="FF1B4F72"/>
      </patternFill>
    </fill>
    <fill>
      <patternFill patternType="solid">
        <fgColor rgb="FFFFF3B0"/>
        <bgColor rgb="FFF7F4EE"/>
      </patternFill>
    </fill>
    <fill>
      <patternFill patternType="solid">
        <fgColor rgb="FF2A6F7F"/>
        <bgColor rgb="FF1B4F72"/>
      </patternFill>
    </fill>
    <fill>
      <patternFill patternType="solid">
        <fgColor rgb="FFF7F4EE"/>
        <bgColor rgb="FFF9F9F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4CFC4"/>
      </left>
      <right style="thin">
        <color rgb="FFD4CFC4"/>
      </right>
      <top style="thin">
        <color rgb="FFD4CFC4"/>
      </top>
      <bottom style="thin">
        <color rgb="FFD4CFC4"/>
      </bottom>
      <diagonal/>
    </border>
    <border diagonalUp="false" diagonalDown="false">
      <left style="thin">
        <color rgb="FFD4CFC4"/>
      </left>
      <right/>
      <top style="thin">
        <color rgb="FFD4CFC4"/>
      </top>
      <bottom style="thin">
        <color rgb="FFD4CF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B3A4B"/>
          <bgColor rgb="FF000000"/>
        </patternFill>
      </fill>
    </dxf>
    <dxf>
      <fill>
        <patternFill patternType="solid">
          <fgColor rgb="FFF7F4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3B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4F72"/>
          <bgColor rgb="FF000000"/>
        </patternFill>
      </fill>
    </dxf>
    <dxf>
      <fill>
        <patternFill patternType="solid">
          <fgColor rgb="FF5C657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A6F7F"/>
      <rgbColor rgb="FFD4CFC4"/>
      <rgbColor rgb="FF878787"/>
      <rgbColor rgb="FF9999FF"/>
      <rgbColor rgb="FF993366"/>
      <rgbColor rgb="FFF7F4EE"/>
      <rgbColor rgb="FFF9F9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C6570"/>
      <rgbColor rgb="FF969696"/>
      <rgbColor rgb="FF1B4F72"/>
      <rgbColor rgb="FF339966"/>
      <rgbColor rgb="FF003300"/>
      <rgbColor rgb="FF1A1A1A"/>
      <rgbColor rgb="FF993300"/>
      <rgbColor rgb="FF993366"/>
      <rgbColor rgb="FF333399"/>
      <rgbColor rgb="FF1B3A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USD por mes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Totales!D18</c:f>
              <c:strCache>
                <c:ptCount val="1"/>
                <c:pt idx="0">
                  <c:v>USD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Totales!$B$19:$B$27</c:f>
              <c:strCache>
                <c:ptCount val="9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Diciembre 2026 (fechas SuperGrok)</c:v>
                </c:pt>
              </c:strCache>
            </c:strRef>
          </c:cat>
          <c:val>
            <c:numRef>
              <c:f>Totales!$D$19:$D$27</c:f>
              <c:numCache>
                <c:formatCode>\$#,##0.00;"($"#,##0.00\);\-</c:formatCode>
                <c:ptCount val="9"/>
                <c:pt idx="0">
                  <c:v>86.93</c:v>
                </c:pt>
                <c:pt idx="1">
                  <c:v>85.16</c:v>
                </c:pt>
                <c:pt idx="2">
                  <c:v>127.67254125</c:v>
                </c:pt>
                <c:pt idx="3">
                  <c:v>218.729933993</c:v>
                </c:pt>
                <c:pt idx="4">
                  <c:v>122.379619885</c:v>
                </c:pt>
                <c:pt idx="5">
                  <c:v>146.670344826</c:v>
                </c:pt>
                <c:pt idx="6">
                  <c:v>38.625082505</c:v>
                </c:pt>
                <c:pt idx="7">
                  <c:v>0</c:v>
                </c:pt>
                <c:pt idx="8">
                  <c:v>19.8</c:v>
                </c:pt>
              </c:numCache>
            </c:numRef>
          </c:val>
        </c:ser>
        <c:gapWidth val="150"/>
        <c:overlap val="0"/>
        <c:axId val="79198267"/>
        <c:axId val="49151179"/>
      </c:barChart>
      <c:catAx>
        <c:axId val="791982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151179"/>
        <c:crosses val="autoZero"/>
        <c:auto val="1"/>
        <c:lblAlgn val="ctr"/>
        <c:lblOffset val="100"/>
        <c:noMultiLvlLbl val="0"/>
      </c:catAx>
      <c:valAx>
        <c:axId val="491511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;&quot;($&quot;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1982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12</xdr:row>
      <xdr:rowOff>156960</xdr:rowOff>
    </xdr:from>
    <xdr:to>
      <xdr:col>13</xdr:col>
      <xdr:colOff>351360</xdr:colOff>
      <xdr:row>26</xdr:row>
      <xdr:rowOff>9720</xdr:rowOff>
    </xdr:to>
    <xdr:graphicFrame>
      <xdr:nvGraphicFramePr>
        <xdr:cNvPr id="0" name="Chart 1"/>
        <xdr:cNvGraphicFramePr/>
      </xdr:nvGraphicFramePr>
      <xdr:xfrm>
        <a:off x="8246880" y="304812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Excluidos" displayName="Excluidos" ref="B5:J20" headerRowCount="1" totalsRowCount="0" totalsRowShown="0">
  <autoFilter ref="B5:J20"/>
  <tableColumns count="9">
    <tableColumn id="1" name="N"/>
    <tableColumn id="2" name="Fecha"/>
    <tableColumn id="3" name="Invoice"/>
    <tableColumn id="4" name="Descripción"/>
    <tableColumn id="5" name="Moneda"/>
    <tableColumn id="6" name="Importe original"/>
    <tableColumn id="7" name="USD"/>
    <tableColumn id="8" name="Motivo"/>
    <tableColumn id="9" name="Comprobante"/>
  </tableColumns>
</table>
</file>

<file path=xl/tables/table2.xml><?xml version="1.0" encoding="utf-8"?>
<table xmlns="http://schemas.openxmlformats.org/spreadsheetml/2006/main" id="2" name="Gastos" displayName="Gastos" ref="B5:N73" headerRowCount="1" totalsRowCount="0" totalsRowShown="0">
  <autoFilter ref="B5:N73"/>
  <tableColumns count="13">
    <tableColumn id="1" name="N"/>
    <tableColumn id="2" name="Fecha"/>
    <tableColumn id="3" name="Mes"/>
    <tableColumn id="4" name="Invoice"/>
    <tableColumn id="5" name="Descripción"/>
    <tableColumn id="6" name="Rubro"/>
    <tableColumn id="7" name="Moneda original"/>
    <tableColumn id="8" name="Importe original"/>
    <tableColumn id="9" name="Tipo de cambio fuente"/>
    <tableColumn id="10" name="USD"/>
    <tableColumn id="11" name="ARS pagados (si fue en pesos)"/>
    <tableColumn id="12" name="ARS al TC liquidación"/>
    <tableColumn id="13" name="Comprobant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xRf5bkr1hMjuRHfl2MFAKS2_fUzTY2HS/view?usp=drivesdk" TargetMode="External"/><Relationship Id="rId2" Type="http://schemas.openxmlformats.org/officeDocument/2006/relationships/hyperlink" Target="https://drive.google.com/file/d/18HiE1wYOnXojcZc1_UTFQUE9FITz4nFj/view?usp=drivesdk" TargetMode="External"/><Relationship Id="rId3" Type="http://schemas.openxmlformats.org/officeDocument/2006/relationships/hyperlink" Target="https://drive.google.com/file/d/1m9ndkRFHcG8fhJumK1qEHsnv2cpAW3YC/view?usp=drivesdk" TargetMode="External"/><Relationship Id="rId4" Type="http://schemas.openxmlformats.org/officeDocument/2006/relationships/hyperlink" Target="https://drive.google.com/file/d/1VX28_h4MtS0OkYiRymh4pWdBol9XpScw/view?usp=drivesdk" TargetMode="External"/><Relationship Id="rId5" Type="http://schemas.openxmlformats.org/officeDocument/2006/relationships/hyperlink" Target="https://drive.google.com/file/d/1b61tE0KGRdh2_prY4B7WKErGhGWRgD5x/view?usp=drivesdk" TargetMode="External"/><Relationship Id="rId6" Type="http://schemas.openxmlformats.org/officeDocument/2006/relationships/hyperlink" Target="https://drive.google.com/file/d/1oQyPS8oEw17BOSAYCULYjSG_JY9xwc5L/view?usp=drivesdk" TargetMode="External"/><Relationship Id="rId7" Type="http://schemas.openxmlformats.org/officeDocument/2006/relationships/hyperlink" Target="https://drive.google.com/file/d/1MZ2k6BMBaE3L8JJQCzxiHcjab5robZHo/view?usp=sharing" TargetMode="External"/><Relationship Id="rId8" Type="http://schemas.openxmlformats.org/officeDocument/2006/relationships/hyperlink" Target="https://drive.google.com/file/d/1S5J32DDeBTt4_C3GkMZqqz3ILELU_Z6s/view?usp=drivesdk" TargetMode="External"/><Relationship Id="rId9" Type="http://schemas.openxmlformats.org/officeDocument/2006/relationships/hyperlink" Target="https://drive.google.com/file/d/1P7rV0RnmchSxHgAn2Vo50KqGfQGzi8BN/view?usp=drivesdk" TargetMode="External"/><Relationship Id="rId10" Type="http://schemas.openxmlformats.org/officeDocument/2006/relationships/hyperlink" Target="https://drive.google.com/file/d/1Pru-IgzfSzmoS-jYpIuj_1KFxT37GKY8/view?usp=drivesdk" TargetMode="External"/><Relationship Id="rId11" Type="http://schemas.openxmlformats.org/officeDocument/2006/relationships/hyperlink" Target="https://drive.google.com/file/d/1M5R_r1yGv7fl2MFzZOeUwFu2PkmOVCrh/view?usp=drivesdk" TargetMode="External"/><Relationship Id="rId12" Type="http://schemas.openxmlformats.org/officeDocument/2006/relationships/hyperlink" Target="https://drive.google.com/file/d/1NuSoQnM0EncoasASmRLbsvRM789iJine/view?usp=drivesdk" TargetMode="External"/><Relationship Id="rId13" Type="http://schemas.openxmlformats.org/officeDocument/2006/relationships/hyperlink" Target="https://drive.google.com/file/d/1DPDu7lLb847CgEO4-UMvMtJqJJsh-PUu/view?usp=sharing" TargetMode="External"/><Relationship Id="rId14" Type="http://schemas.openxmlformats.org/officeDocument/2006/relationships/hyperlink" Target="https://drive.google.com/file/d/1rZqXsdpr7LPSmbS_yeV2pLl1UFAFvrDv/view?usp=drivesdk" TargetMode="External"/><Relationship Id="rId15" Type="http://schemas.openxmlformats.org/officeDocument/2006/relationships/hyperlink" Target="https://drive.google.com/file/d/1cLKQjsI8bclbkI7LrQribJAfO-Mz9a3j/view?usp=drivesdk" TargetMode="External"/><Relationship Id="rId16" Type="http://schemas.openxmlformats.org/officeDocument/2006/relationships/hyperlink" Target="https://drive.google.com/file/d/1uepYdId8qiZz4SDuQYgyGYrVL6omp7fA/view?usp=drivesdk" TargetMode="External"/><Relationship Id="rId17" Type="http://schemas.openxmlformats.org/officeDocument/2006/relationships/hyperlink" Target="https://drive.google.com/file/d/10XIA9pxqAwh7aBjn12HTqf15UXqBchOh/view?usp=drivesdk" TargetMode="External"/><Relationship Id="rId18" Type="http://schemas.openxmlformats.org/officeDocument/2006/relationships/hyperlink" Target="https://drive.google.com/file/d/1NnXCX407xAL-TCsXtMU3rrTSc32vYGVh/view?usp=drivesdk" TargetMode="External"/><Relationship Id="rId19" Type="http://schemas.openxmlformats.org/officeDocument/2006/relationships/hyperlink" Target="https://drive.google.com/file/d/1ALehCdIZjM-e9UyDbfinVOyU60hyNdQY/view?usp=drivesdk" TargetMode="External"/><Relationship Id="rId20" Type="http://schemas.openxmlformats.org/officeDocument/2006/relationships/hyperlink" Target="https://drive.google.com/file/d/1tdtkT5Cu8O4t3WftSgluIMv--gCoWZEh/view?usp=drivesdk" TargetMode="External"/><Relationship Id="rId21" Type="http://schemas.openxmlformats.org/officeDocument/2006/relationships/hyperlink" Target="https://drive.google.com/file/d/1cBWHHY8mZQ5M03DXHsUzXKEIYRetMKkB/view?usp=drivesdk" TargetMode="External"/><Relationship Id="rId22" Type="http://schemas.openxmlformats.org/officeDocument/2006/relationships/hyperlink" Target="https://drive.google.com/file/d/1AWmWKRK3JE0irVf3QCv2wDU1oahvw864/view?usp=drivesdk" TargetMode="External"/><Relationship Id="rId23" Type="http://schemas.openxmlformats.org/officeDocument/2006/relationships/hyperlink" Target="https://drive.google.com/file/d/1H0SSYurwFSL_fJsrYORSAs0wvpWFMJ4m/view?usp=drivesdk" TargetMode="External"/><Relationship Id="rId24" Type="http://schemas.openxmlformats.org/officeDocument/2006/relationships/hyperlink" Target="https://drive.google.com/file/d/1L-teIw3bgJT8DmSTgO6PmIoDtWxVHV_w/view?usp=drivesdk" TargetMode="External"/><Relationship Id="rId25" Type="http://schemas.openxmlformats.org/officeDocument/2006/relationships/hyperlink" Target="https://drive.google.com/uc?export=view&amp;id=1okd_HhOMBlrY0FSgwSCttuTkLaSVVOX1" TargetMode="External"/><Relationship Id="rId26" Type="http://schemas.openxmlformats.org/officeDocument/2006/relationships/hyperlink" Target="https://drive.google.com/uc?export=view&amp;id=1AmHP0Jn_nGd4_bgmCFzMwFJN5UZ22V_N" TargetMode="External"/><Relationship Id="rId27" Type="http://schemas.openxmlformats.org/officeDocument/2006/relationships/hyperlink" Target="https://drive.google.com/file/d/1BLNHdbqTcprnwq_luHe6UYpNRYK24bWk/view?usp=drivesdk" TargetMode="External"/><Relationship Id="rId28" Type="http://schemas.openxmlformats.org/officeDocument/2006/relationships/hyperlink" Target="https://drive.google.com/file/d/1SbNb7WOQjCGhneIO-00OFTaR8yc_F8ri/view?usp=drivesdk" TargetMode="External"/><Relationship Id="rId29" Type="http://schemas.openxmlformats.org/officeDocument/2006/relationships/hyperlink" Target="https://drive.google.com/file/d/1ELK56Dc67du8zdetWUM7Imm40spGn_E_/view?usp=drivesdk" TargetMode="External"/><Relationship Id="rId30" Type="http://schemas.openxmlformats.org/officeDocument/2006/relationships/hyperlink" Target="https://drive.google.com/file/d/1GDTSK6-CbVEKr3LbMA8M02gk_nTQFYiY/view?usp=drivesdk" TargetMode="External"/><Relationship Id="rId31" Type="http://schemas.openxmlformats.org/officeDocument/2006/relationships/hyperlink" Target="https://drive.google.com/file/d/1mPjh_blBL6IKUz_JRSmzRZdpirY4lG9r/view?usp=drivesdk" TargetMode="External"/><Relationship Id="rId32" Type="http://schemas.openxmlformats.org/officeDocument/2006/relationships/hyperlink" Target="https://drive.google.com/uc?export=view&amp;id=19rx8CkY0mAFsCDF-0VbRwuguzvAfdfFd" TargetMode="External"/><Relationship Id="rId33" Type="http://schemas.openxmlformats.org/officeDocument/2006/relationships/hyperlink" Target="https://drive.google.com/file/d/11J5d5f-Ar6ncxp7n67xr5ySpORDiGyjc/view?usp=drivesdk" TargetMode="External"/><Relationship Id="rId34" Type="http://schemas.openxmlformats.org/officeDocument/2006/relationships/hyperlink" Target="https://drive.google.com/file/d/1q_KD2Hrco9xy0SKDjSZ6cuPFy8C4wAja/view?usp=drivesdk" TargetMode="External"/><Relationship Id="rId35" Type="http://schemas.openxmlformats.org/officeDocument/2006/relationships/hyperlink" Target="https://drive.google.com/uc?export=view&amp;id=1fRxb8o42-yfBszcOIKLIWVUShk897pdf" TargetMode="External"/><Relationship Id="rId36" Type="http://schemas.openxmlformats.org/officeDocument/2006/relationships/hyperlink" Target="https://drive.google.com/uc?export=view&amp;id=1Zp1hsNUQcO7pQSbqJtUfB96T1DojiR3H" TargetMode="External"/><Relationship Id="rId37" Type="http://schemas.openxmlformats.org/officeDocument/2006/relationships/hyperlink" Target="https://drive.google.com/uc?export=view&amp;id=1Ny4PpMLhHSKwZHQ3ZQZR0PvfQ5bkDr0z" TargetMode="External"/><Relationship Id="rId38" Type="http://schemas.openxmlformats.org/officeDocument/2006/relationships/hyperlink" Target="https://drive.google.com/uc?export=view&amp;id=1b2Znweb-3denrYbnb5FRrwHWqsLgv9_7" TargetMode="External"/><Relationship Id="rId39" Type="http://schemas.openxmlformats.org/officeDocument/2006/relationships/hyperlink" Target="https://drive.google.com/uc?export=view&amp;id=1fVW-uiL0753OsYZBbHe6bBlyuPSCzHlw" TargetMode="External"/><Relationship Id="rId40" Type="http://schemas.openxmlformats.org/officeDocument/2006/relationships/hyperlink" Target="https://drive.google.com/uc?export=view&amp;id=1v7i7-eOB2bVS-ne8B8hUj4b3_CRXVk56" TargetMode="External"/><Relationship Id="rId41" Type="http://schemas.openxmlformats.org/officeDocument/2006/relationships/hyperlink" Target="https://drive.google.com/uc?export=view&amp;id=121lr3P8i1sKeAXGbKjsXYAHaMm7qzKkw" TargetMode="External"/><Relationship Id="rId42" Type="http://schemas.openxmlformats.org/officeDocument/2006/relationships/hyperlink" Target="https://drive.google.com/uc?export=view&amp;id=18vSDaG_sz2HofJdLUMa4-JG2MiGZoBUu" TargetMode="External"/><Relationship Id="rId43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6bThKh9cpCChoXqksJFR7XzvFz7IxJt_/view?usp=drivesdk" TargetMode="External"/><Relationship Id="rId2" Type="http://schemas.openxmlformats.org/officeDocument/2006/relationships/hyperlink" Target="https://drive.google.com/file/d/1blZwOEI6i9j3XL2_HG26mm8XLwlVXLTI/view?usp=drivesdk" TargetMode="External"/><Relationship Id="rId3" Type="http://schemas.openxmlformats.org/officeDocument/2006/relationships/hyperlink" Target="https://drive.google.com/file/d/1SbNb7WOQjCGhneIO-00OFTaR8yc_F8ri/view?usp=drivesdk" TargetMode="External"/><Relationship Id="rId4" Type="http://schemas.openxmlformats.org/officeDocument/2006/relationships/hyperlink" Target="https://drive.google.com/file/d/1Zp1hsNUQcO7pQSbqJtUfB96T1DojiR3H/view?usp=drivesdk" TargetMode="External"/><Relationship Id="rId5" Type="http://schemas.openxmlformats.org/officeDocument/2006/relationships/hyperlink" Target="https://drive.google.com/file/d/1fRxb8o42-yfBszcOIKLIWVUShk897pdf/view?usp=drivesdk" TargetMode="External"/><Relationship Id="rId6" Type="http://schemas.openxmlformats.org/officeDocument/2006/relationships/hyperlink" Target="https://drive.google.com/file/d/19rx8CkY0mAFsCDF-0VbRwuguzvAfdfFd/view?usp=drivesdk" TargetMode="External"/><Relationship Id="rId7" Type="http://schemas.openxmlformats.org/officeDocument/2006/relationships/hyperlink" Target="https://drive.google.com/file/d/1Ny4PpMLhHSKwZHQ3ZQZR0PvfQ5bkDr0z/view?usp=drivesdk" TargetMode="External"/><Relationship Id="rId8" Type="http://schemas.openxmlformats.org/officeDocument/2006/relationships/hyperlink" Target="https://drive.google.com/file/d/1okd_HhOMBlrY0FSgwSCttuTkLaSVVOX1/view?usp=drivesdk" TargetMode="External"/><Relationship Id="rId9" Type="http://schemas.openxmlformats.org/officeDocument/2006/relationships/hyperlink" Target="https://drive.google.com/file/d/1b2Znweb-3denrYbnb5FRrwHWqsLgv9_7/view?usp=drivesdk" TargetMode="External"/><Relationship Id="rId10" Type="http://schemas.openxmlformats.org/officeDocument/2006/relationships/hyperlink" Target="https://drive.google.com/file/d/1AmHP0Jn_nGd4_bgmCFzMwFJN5UZ22V_N/view?usp=drivesdk" TargetMode="External"/><Relationship Id="rId11" Type="http://schemas.openxmlformats.org/officeDocument/2006/relationships/hyperlink" Target="https://drive.google.com/file/d/1fVW-uiL0753OsYZBbHe6bBlyuPSCzHlw/view?usp=drivesdk" TargetMode="External"/><Relationship Id="rId12" Type="http://schemas.openxmlformats.org/officeDocument/2006/relationships/hyperlink" Target="https://drive.google.com/file/d/1v7i7-eOB2bVS-ne8B8hUj4b3_CRXVk56/view?usp=drivesdk" TargetMode="External"/><Relationship Id="rId13" Type="http://schemas.openxmlformats.org/officeDocument/2006/relationships/hyperlink" Target="https://drive.google.com/file/d/18vSDaG_sz2HofJdLUMa4-JG2MiGZoBUu/view?usp=drivesdk" TargetMode="External"/><Relationship Id="rId14" Type="http://schemas.openxmlformats.org/officeDocument/2006/relationships/hyperlink" Target="https://drive.google.com/file/d/121lr3P8i1sKeAXGbKjsXYAHaMm7qzKkw/view?usp=drivesdk" TargetMode="External"/><Relationship Id="rId15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0</v>
      </c>
      <c r="C2" s="1"/>
      <c r="D2" s="1"/>
      <c r="E2" s="1"/>
      <c r="F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  <c r="C6" s="4" t="s">
        <v>4</v>
      </c>
      <c r="D6" s="4" t="s">
        <v>5</v>
      </c>
    </row>
    <row r="7" customFormat="false" ht="22.35" hidden="false" customHeight="false" outlineLevel="0" collapsed="false">
      <c r="B7" s="5" t="s">
        <v>6</v>
      </c>
      <c r="C7" s="6" t="n">
        <v>600000</v>
      </c>
      <c r="D7" s="7" t="s">
        <v>7</v>
      </c>
    </row>
    <row r="8" customFormat="false" ht="43.25" hidden="false" customHeight="false" outlineLevel="0" collapsed="false">
      <c r="B8" s="5" t="s">
        <v>8</v>
      </c>
      <c r="C8" s="8" t="n">
        <v>1480</v>
      </c>
      <c r="D8" s="7" t="s">
        <v>9</v>
      </c>
    </row>
    <row r="9" customFormat="false" ht="22.35" hidden="false" customHeight="false" outlineLevel="0" collapsed="false">
      <c r="B9" s="5" t="s">
        <v>10</v>
      </c>
      <c r="C9" s="8" t="n">
        <v>1410</v>
      </c>
      <c r="D9" s="7" t="s">
        <v>11</v>
      </c>
    </row>
    <row r="11" customFormat="false" ht="15" hidden="false" customHeight="false" outlineLevel="0" collapsed="false">
      <c r="B11" s="3" t="s">
        <v>12</v>
      </c>
    </row>
    <row r="12" customFormat="false" ht="15" hidden="false" customHeight="false" outlineLevel="0" collapsed="false">
      <c r="B12" s="4" t="s">
        <v>3</v>
      </c>
      <c r="C12" s="4" t="s">
        <v>13</v>
      </c>
      <c r="D12" s="4" t="s">
        <v>14</v>
      </c>
    </row>
    <row r="13" customFormat="false" ht="15" hidden="false" customHeight="false" outlineLevel="0" collapsed="false">
      <c r="B13" s="9" t="s">
        <v>15</v>
      </c>
      <c r="C13" s="10" t="n">
        <f aca="false">SUM(Gastos!K6:K73)</f>
        <v>845.967522459</v>
      </c>
      <c r="D13" s="10" t="n">
        <f aca="false">C13*C8</f>
        <v>1252031.93323932</v>
      </c>
    </row>
    <row r="14" customFormat="false" ht="15" hidden="false" customHeight="false" outlineLevel="0" collapsed="false">
      <c r="B14" s="9" t="s">
        <v>16</v>
      </c>
      <c r="C14" s="10" t="n">
        <f aca="false">C7/C9</f>
        <v>425.531914893617</v>
      </c>
      <c r="D14" s="10" t="n">
        <f aca="false">C7</f>
        <v>600000</v>
      </c>
    </row>
    <row r="15" customFormat="false" ht="15" hidden="false" customHeight="false" outlineLevel="0" collapsed="false">
      <c r="B15" s="11" t="s">
        <v>17</v>
      </c>
      <c r="C15" s="12" t="n">
        <f aca="false">C13-C14</f>
        <v>420.435607565383</v>
      </c>
      <c r="D15" s="12" t="n">
        <f aca="false">C15*C8</f>
        <v>622244.699196767</v>
      </c>
    </row>
    <row r="17" customFormat="false" ht="15" hidden="false" customHeight="false" outlineLevel="0" collapsed="false">
      <c r="B17" s="3" t="s">
        <v>18</v>
      </c>
    </row>
    <row r="18" customFormat="false" ht="15" hidden="false" customHeight="false" outlineLevel="0" collapsed="false">
      <c r="B18" s="4" t="s">
        <v>19</v>
      </c>
      <c r="C18" s="4" t="s">
        <v>20</v>
      </c>
      <c r="D18" s="4" t="s">
        <v>13</v>
      </c>
      <c r="E18" s="4" t="s">
        <v>21</v>
      </c>
    </row>
    <row r="19" customFormat="false" ht="15" hidden="false" customHeight="false" outlineLevel="0" collapsed="false">
      <c r="B19" s="5" t="s">
        <v>22</v>
      </c>
      <c r="C19" s="13" t="n">
        <f aca="false">COUNTIF(Gastos!D6:D73,"2026-01")</f>
        <v>8</v>
      </c>
      <c r="D19" s="10" t="n">
        <f aca="false">SUMIF(Gastos!D6:D73,"2026-01",Gastos!K6:K73)</f>
        <v>86.93</v>
      </c>
      <c r="E19" s="10" t="n">
        <f aca="false">D19*$C$8</f>
        <v>128656.4</v>
      </c>
    </row>
    <row r="20" customFormat="false" ht="15" hidden="false" customHeight="false" outlineLevel="0" collapsed="false">
      <c r="B20" s="14" t="s">
        <v>23</v>
      </c>
      <c r="C20" s="15" t="n">
        <f aca="false">COUNTIF(Gastos!D6:D73,"2026-02")</f>
        <v>6</v>
      </c>
      <c r="D20" s="16" t="n">
        <f aca="false">SUMIF(Gastos!D6:D73,"2026-02",Gastos!K6:K73)</f>
        <v>85.16</v>
      </c>
      <c r="E20" s="16" t="n">
        <f aca="false">D20*$C$8</f>
        <v>126036.8</v>
      </c>
    </row>
    <row r="21" customFormat="false" ht="15" hidden="false" customHeight="false" outlineLevel="0" collapsed="false">
      <c r="B21" s="5" t="s">
        <v>24</v>
      </c>
      <c r="C21" s="13" t="n">
        <f aca="false">COUNTIF(Gastos!D6:D73,"2026-03")</f>
        <v>9</v>
      </c>
      <c r="D21" s="10" t="n">
        <f aca="false">SUMIF(Gastos!D6:D73,"2026-03",Gastos!K6:K73)</f>
        <v>127.67254125</v>
      </c>
      <c r="E21" s="10" t="n">
        <f aca="false">D21*$C$8</f>
        <v>188955.36105</v>
      </c>
    </row>
    <row r="22" customFormat="false" ht="15" hidden="false" customHeight="false" outlineLevel="0" collapsed="false">
      <c r="B22" s="14" t="s">
        <v>25</v>
      </c>
      <c r="C22" s="15" t="n">
        <f aca="false">COUNTIF(Gastos!D6:D73,"2026-04")</f>
        <v>15</v>
      </c>
      <c r="D22" s="16" t="n">
        <f aca="false">SUMIF(Gastos!D6:D73,"2026-04",Gastos!K6:K73)</f>
        <v>218.729933993</v>
      </c>
      <c r="E22" s="16" t="n">
        <f aca="false">D22*$C$8</f>
        <v>323720.30230964</v>
      </c>
    </row>
    <row r="23" customFormat="false" ht="15" hidden="false" customHeight="false" outlineLevel="0" collapsed="false">
      <c r="B23" s="5" t="s">
        <v>26</v>
      </c>
      <c r="C23" s="13" t="n">
        <f aca="false">COUNTIF(Gastos!D6:D73,"2026-05")</f>
        <v>10</v>
      </c>
      <c r="D23" s="10" t="n">
        <f aca="false">SUMIF(Gastos!D6:D73,"2026-05",Gastos!K6:K73)</f>
        <v>122.379619885</v>
      </c>
      <c r="E23" s="10" t="n">
        <f aca="false">D23*$C$8</f>
        <v>181121.8374298</v>
      </c>
    </row>
    <row r="24" customFormat="false" ht="15" hidden="false" customHeight="false" outlineLevel="0" collapsed="false">
      <c r="B24" s="14" t="s">
        <v>27</v>
      </c>
      <c r="C24" s="15" t="n">
        <f aca="false">COUNTIF(Gastos!D6:D73,"2026-06")</f>
        <v>12</v>
      </c>
      <c r="D24" s="16" t="n">
        <f aca="false">SUMIF(Gastos!D6:D73,"2026-06",Gastos!K6:K73)</f>
        <v>146.670344826</v>
      </c>
      <c r="E24" s="16" t="n">
        <f aca="false">D24*$C$8</f>
        <v>217072.11034248</v>
      </c>
    </row>
    <row r="25" customFormat="false" ht="15" hidden="false" customHeight="false" outlineLevel="0" collapsed="false">
      <c r="B25" s="5" t="s">
        <v>28</v>
      </c>
      <c r="C25" s="13" t="n">
        <f aca="false">COUNTIF(Gastos!D6:D73,"2026-07")</f>
        <v>6</v>
      </c>
      <c r="D25" s="10" t="n">
        <f aca="false">SUMIF(Gastos!D6:D73,"2026-07",Gastos!K6:K73)</f>
        <v>38.625082505</v>
      </c>
      <c r="E25" s="10" t="n">
        <f aca="false">D25*$C$8</f>
        <v>57165.1221074</v>
      </c>
    </row>
    <row r="26" customFormat="false" ht="15" hidden="false" customHeight="false" outlineLevel="0" collapsed="false">
      <c r="B26" s="14" t="s">
        <v>29</v>
      </c>
      <c r="C26" s="15" t="n">
        <f aca="false">COUNTIF(Gastos!D6:D73,"2026-08")</f>
        <v>0</v>
      </c>
      <c r="D26" s="16" t="n">
        <f aca="false">SUMIF(Gastos!D6:D73,"2026-08",Gastos!K6:K73)</f>
        <v>0</v>
      </c>
      <c r="E26" s="16" t="n">
        <f aca="false">D26*$C$8</f>
        <v>0</v>
      </c>
    </row>
    <row r="27" customFormat="false" ht="15" hidden="false" customHeight="false" outlineLevel="0" collapsed="false">
      <c r="B27" s="5" t="s">
        <v>30</v>
      </c>
      <c r="C27" s="13" t="n">
        <f aca="false">COUNTIF(Gastos!D6:D73,"2026-12")</f>
        <v>2</v>
      </c>
      <c r="D27" s="10" t="n">
        <f aca="false">SUMIF(Gastos!D6:D73,"2026-12",Gastos!K6:K73)</f>
        <v>19.8</v>
      </c>
      <c r="E27" s="10" t="n">
        <f aca="false">D27*$C$8</f>
        <v>29304</v>
      </c>
    </row>
    <row r="28" customFormat="false" ht="15" hidden="false" customHeight="false" outlineLevel="0" collapsed="false">
      <c r="B28" s="17" t="s">
        <v>31</v>
      </c>
      <c r="C28" s="18" t="n">
        <f aca="false">SUM(C19:C27)</f>
        <v>68</v>
      </c>
      <c r="D28" s="19" t="n">
        <f aca="false">SUM(D19:D27)</f>
        <v>845.967522459</v>
      </c>
      <c r="E28" s="19" t="n">
        <f aca="false">SUM(E19:E27)</f>
        <v>1252031.93323932</v>
      </c>
    </row>
    <row r="30" customFormat="false" ht="15" hidden="false" customHeight="false" outlineLevel="0" collapsed="false">
      <c r="B30" s="3" t="s">
        <v>32</v>
      </c>
    </row>
    <row r="31" customFormat="false" ht="15" hidden="false" customHeight="false" outlineLevel="0" collapsed="false">
      <c r="B31" s="4" t="s">
        <v>33</v>
      </c>
      <c r="C31" s="4" t="s">
        <v>13</v>
      </c>
      <c r="D31" s="4" t="s">
        <v>34</v>
      </c>
    </row>
    <row r="32" customFormat="false" ht="15" hidden="false" customHeight="false" outlineLevel="0" collapsed="false">
      <c r="B32" s="9" t="s">
        <v>35</v>
      </c>
      <c r="C32" s="20" t="n">
        <f aca="false">SUMIF(Gastos!G6:G73,B32,Gastos!K6:K73)</f>
        <v>325.96</v>
      </c>
      <c r="D32" s="21" t="n">
        <f aca="false">IF($C$13=0,0,C32/$C$13)</f>
        <v>0.38531030015493</v>
      </c>
    </row>
    <row r="33" customFormat="false" ht="15" hidden="false" customHeight="false" outlineLevel="0" collapsed="false">
      <c r="B33" s="22" t="s">
        <v>36</v>
      </c>
      <c r="C33" s="23" t="n">
        <f aca="false">SUMIF(Gastos!G6:G73,B33,Gastos!K6:K73)</f>
        <v>254.66</v>
      </c>
      <c r="D33" s="24" t="n">
        <f aca="false">IF($C$13=0,0,C33/$C$13)</f>
        <v>0.301028104790326</v>
      </c>
    </row>
    <row r="34" customFormat="false" ht="15" hidden="false" customHeight="false" outlineLevel="0" collapsed="false">
      <c r="B34" s="9" t="s">
        <v>37</v>
      </c>
      <c r="C34" s="20" t="n">
        <f aca="false">SUMIF(Gastos!G6:G73,B34,Gastos!K6:K73)</f>
        <v>200.624636379</v>
      </c>
      <c r="D34" s="21" t="n">
        <f aca="false">IF($C$13=0,0,C34/$C$13)</f>
        <v>0.237154064491552</v>
      </c>
    </row>
    <row r="35" customFormat="false" ht="15" hidden="false" customHeight="false" outlineLevel="0" collapsed="false">
      <c r="B35" s="22" t="s">
        <v>38</v>
      </c>
      <c r="C35" s="23" t="n">
        <f aca="false">SUMIF(Gastos!G6:G73,B35,Gastos!K6:K73)</f>
        <v>40.92978263</v>
      </c>
      <c r="D35" s="24" t="n">
        <f aca="false">IF($C$13=0,0,C35/$C$13)</f>
        <v>0.0483822150890948</v>
      </c>
    </row>
    <row r="36" customFormat="false" ht="15" hidden="false" customHeight="false" outlineLevel="0" collapsed="false">
      <c r="B36" s="9" t="s">
        <v>39</v>
      </c>
      <c r="C36" s="20" t="n">
        <f aca="false">SUMIF(Gastos!G6:G73,B36,Gastos!K6:K73)</f>
        <v>23.79310345</v>
      </c>
      <c r="D36" s="21" t="n">
        <f aca="false">IF($C$13=0,0,C36/$C$13)</f>
        <v>0.0281253154740975</v>
      </c>
    </row>
    <row r="37" customFormat="false" ht="15" hidden="false" customHeight="false" outlineLevel="0" collapsed="false">
      <c r="B37" s="22" t="s">
        <v>40</v>
      </c>
      <c r="C37" s="23" t="n">
        <f aca="false">SUMIF(Gastos!G6:G73,B37,Gastos!K6:K73)</f>
        <v>0</v>
      </c>
      <c r="D37" s="24" t="n">
        <f aca="false">IF($C$13=0,0,C37/$C$13)</f>
        <v>0</v>
      </c>
    </row>
    <row r="38" customFormat="false" ht="15" hidden="false" customHeight="false" outlineLevel="0" collapsed="false">
      <c r="B38" s="17" t="s">
        <v>41</v>
      </c>
      <c r="C38" s="19" t="n">
        <f aca="false">SUM(C32:C37)</f>
        <v>845.967522459</v>
      </c>
      <c r="D38" s="25" t="n">
        <f aca="false">IF(C13=0,0,C38/C13)</f>
        <v>1</v>
      </c>
    </row>
    <row r="40" customFormat="false" ht="15" hidden="false" customHeight="false" outlineLevel="0" collapsed="false">
      <c r="B40" s="3" t="s">
        <v>42</v>
      </c>
    </row>
    <row r="41" customFormat="false" ht="15" hidden="false" customHeight="false" outlineLevel="0" collapsed="false">
      <c r="B41" s="4" t="s">
        <v>43</v>
      </c>
      <c r="C41" s="4" t="s">
        <v>20</v>
      </c>
      <c r="D41" s="4" t="s">
        <v>13</v>
      </c>
    </row>
    <row r="42" customFormat="false" ht="15" hidden="false" customHeight="false" outlineLevel="0" collapsed="false">
      <c r="B42" s="9" t="s">
        <v>44</v>
      </c>
      <c r="C42" s="26" t="n">
        <f aca="false">COUNTIF(Gastos!E6:E73,B42)</f>
        <v>7</v>
      </c>
      <c r="D42" s="20" t="n">
        <f aca="false">SUMIF(Gastos!E6:E73,B42,Gastos!K6:K73)</f>
        <v>85</v>
      </c>
    </row>
    <row r="43" customFormat="false" ht="15" hidden="false" customHeight="false" outlineLevel="0" collapsed="false">
      <c r="B43" s="22" t="s">
        <v>45</v>
      </c>
      <c r="C43" s="27" t="n">
        <f aca="false">COUNTIF(Gastos!E6:E73,B43)</f>
        <v>18</v>
      </c>
      <c r="D43" s="23" t="n">
        <f aca="false">SUMIF(Gastos!E6:E73,B43,Gastos!K6:K73)</f>
        <v>313.22254125</v>
      </c>
    </row>
    <row r="44" customFormat="false" ht="15" hidden="false" customHeight="false" outlineLevel="0" collapsed="false">
      <c r="B44" s="9" t="s">
        <v>46</v>
      </c>
      <c r="C44" s="26" t="n">
        <f aca="false">COUNTIF(Gastos!E6:E73,B44)</f>
        <v>17</v>
      </c>
      <c r="D44" s="20" t="n">
        <f aca="false">SUMIF(Gastos!E6:E73,B44,Gastos!K6:K73)</f>
        <v>176.856105606</v>
      </c>
    </row>
    <row r="45" customFormat="false" ht="15" hidden="false" customHeight="false" outlineLevel="0" collapsed="false">
      <c r="B45" s="22" t="s">
        <v>47</v>
      </c>
      <c r="C45" s="27" t="n">
        <f aca="false">COUNTIF(Gastos!E6:E73,B45)</f>
        <v>14</v>
      </c>
      <c r="D45" s="23" t="n">
        <f aca="false">SUMIF(Gastos!E6:E73,B45,Gastos!K6:K73)</f>
        <v>162.533793098</v>
      </c>
    </row>
    <row r="46" customFormat="false" ht="15" hidden="false" customHeight="false" outlineLevel="0" collapsed="false">
      <c r="B46" s="9" t="s">
        <v>48</v>
      </c>
      <c r="C46" s="26" t="n">
        <f aca="false">COUNTIF(Gastos!E6:E73,B46)</f>
        <v>12</v>
      </c>
      <c r="D46" s="20" t="n">
        <f aca="false">SUMIF(Gastos!E6:E73,B46,Gastos!K6:K73)</f>
        <v>108.355082505</v>
      </c>
    </row>
    <row r="47" customFormat="false" ht="15" hidden="false" customHeight="false" outlineLevel="0" collapsed="false">
      <c r="B47" s="17" t="s">
        <v>49</v>
      </c>
      <c r="C47" s="18" t="n">
        <f aca="false">SUM(C42:C46)</f>
        <v>68</v>
      </c>
      <c r="D47" s="19" t="n">
        <f aca="false">SUM(D42:D46)</f>
        <v>845.967522459</v>
      </c>
    </row>
  </sheetData>
  <mergeCells count="2">
    <mergeCell ref="B2:F2"/>
    <mergeCell ref="B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44"/>
    <col collapsed="false" customWidth="true" hidden="false" outlineLevel="0" max="9" min="7" style="0" width="16"/>
    <col collapsed="false" customWidth="true" hidden="false" outlineLevel="0" max="10" min="10" style="0" width="18"/>
    <col collapsed="false" customWidth="true" hidden="false" outlineLevel="0" max="11" min="11" style="0" width="12"/>
    <col collapsed="false" customWidth="true" hidden="false" outlineLevel="0" max="12" min="12" style="0" width="26"/>
    <col collapsed="false" customWidth="true" hidden="false" outlineLevel="0" max="13" min="13" style="0" width="24"/>
    <col collapsed="false" customWidth="true" hidden="false" outlineLevel="0" max="14" min="14" style="0" width="14"/>
  </cols>
  <sheetData>
    <row r="2" customFormat="false" ht="21.75" hidden="false" customHeight="true" outlineLevel="0" collapsed="false">
      <c r="B2" s="1" t="s">
        <v>50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15" hidden="false" customHeight="false" outlineLevel="0" collapsed="false">
      <c r="B3" s="2" t="s">
        <v>51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31.5" hidden="false" customHeight="true" outlineLevel="0" collapsed="false">
      <c r="B5" s="4" t="s">
        <v>52</v>
      </c>
      <c r="C5" s="4" t="s">
        <v>53</v>
      </c>
      <c r="D5" s="4" t="s">
        <v>19</v>
      </c>
      <c r="E5" s="4" t="s">
        <v>43</v>
      </c>
      <c r="F5" s="4" t="s">
        <v>54</v>
      </c>
      <c r="G5" s="4" t="s">
        <v>33</v>
      </c>
      <c r="H5" s="4" t="s">
        <v>55</v>
      </c>
      <c r="I5" s="4" t="s">
        <v>56</v>
      </c>
      <c r="J5" s="4" t="s">
        <v>57</v>
      </c>
      <c r="K5" s="4" t="s">
        <v>13</v>
      </c>
      <c r="L5" s="4" t="s">
        <v>58</v>
      </c>
      <c r="M5" s="4" t="s">
        <v>21</v>
      </c>
      <c r="N5" s="4" t="s">
        <v>59</v>
      </c>
    </row>
    <row r="6" customFormat="false" ht="18" hidden="false" customHeight="true" outlineLevel="0" collapsed="false">
      <c r="B6" s="28" t="n">
        <v>1</v>
      </c>
      <c r="C6" s="29" t="n">
        <v>46023</v>
      </c>
      <c r="D6" s="28" t="s">
        <v>60</v>
      </c>
      <c r="E6" s="28" t="s">
        <v>44</v>
      </c>
      <c r="F6" s="5" t="s">
        <v>61</v>
      </c>
      <c r="G6" s="28" t="s">
        <v>35</v>
      </c>
      <c r="H6" s="28" t="s">
        <v>13</v>
      </c>
      <c r="I6" s="30" t="n">
        <v>6</v>
      </c>
      <c r="J6" s="31" t="n">
        <v>1</v>
      </c>
      <c r="K6" s="32" t="n">
        <v>6</v>
      </c>
      <c r="L6" s="32"/>
      <c r="M6" s="10" t="n">
        <f aca="false">IF(K6="","",K6*Totales!$C$8)</f>
        <v>8880</v>
      </c>
      <c r="N6" s="33" t="s">
        <v>62</v>
      </c>
    </row>
    <row r="7" customFormat="false" ht="18" hidden="false" customHeight="true" outlineLevel="0" collapsed="false">
      <c r="B7" s="34" t="n">
        <v>2</v>
      </c>
      <c r="C7" s="35" t="n">
        <v>46023</v>
      </c>
      <c r="D7" s="34" t="s">
        <v>60</v>
      </c>
      <c r="E7" s="34" t="s">
        <v>45</v>
      </c>
      <c r="F7" s="14" t="s">
        <v>63</v>
      </c>
      <c r="G7" s="34" t="s">
        <v>36</v>
      </c>
      <c r="H7" s="34" t="s">
        <v>13</v>
      </c>
      <c r="I7" s="36" t="n">
        <v>6</v>
      </c>
      <c r="J7" s="37" t="n">
        <v>1</v>
      </c>
      <c r="K7" s="38" t="n">
        <v>6</v>
      </c>
      <c r="L7" s="38"/>
      <c r="M7" s="16" t="n">
        <f aca="false">IF(K7="","",K7*Totales!$C$8)</f>
        <v>8880</v>
      </c>
      <c r="N7" s="39" t="s">
        <v>62</v>
      </c>
    </row>
    <row r="8" customFormat="false" ht="18" hidden="false" customHeight="true" outlineLevel="0" collapsed="false">
      <c r="B8" s="28" t="n">
        <v>3</v>
      </c>
      <c r="C8" s="29" t="n">
        <v>46023</v>
      </c>
      <c r="D8" s="28" t="s">
        <v>60</v>
      </c>
      <c r="E8" s="28" t="s">
        <v>45</v>
      </c>
      <c r="F8" s="5" t="s">
        <v>64</v>
      </c>
      <c r="G8" s="28" t="s">
        <v>35</v>
      </c>
      <c r="H8" s="28" t="s">
        <v>13</v>
      </c>
      <c r="I8" s="30" t="n">
        <v>20</v>
      </c>
      <c r="J8" s="31" t="n">
        <v>1</v>
      </c>
      <c r="K8" s="32" t="n">
        <v>20</v>
      </c>
      <c r="L8" s="32"/>
      <c r="M8" s="10" t="n">
        <f aca="false">IF(K8="","",K8*Totales!$C$8)</f>
        <v>29600</v>
      </c>
      <c r="N8" s="33" t="s">
        <v>62</v>
      </c>
    </row>
    <row r="9" customFormat="false" ht="18" hidden="false" customHeight="true" outlineLevel="0" collapsed="false">
      <c r="B9" s="34" t="n">
        <v>4</v>
      </c>
      <c r="C9" s="35" t="n">
        <v>46029</v>
      </c>
      <c r="D9" s="34" t="s">
        <v>60</v>
      </c>
      <c r="E9" s="34" t="s">
        <v>48</v>
      </c>
      <c r="F9" s="14" t="s">
        <v>65</v>
      </c>
      <c r="G9" s="34" t="s">
        <v>36</v>
      </c>
      <c r="H9" s="34" t="s">
        <v>13</v>
      </c>
      <c r="I9" s="36" t="n">
        <v>4.93</v>
      </c>
      <c r="J9" s="37" t="n">
        <v>1</v>
      </c>
      <c r="K9" s="38" t="n">
        <v>4.93</v>
      </c>
      <c r="L9" s="38"/>
      <c r="M9" s="16" t="n">
        <f aca="false">IF(K9="","",K9*Totales!$C$8)</f>
        <v>7296.4</v>
      </c>
      <c r="N9" s="40" t="s">
        <v>66</v>
      </c>
    </row>
    <row r="10" customFormat="false" ht="18" hidden="false" customHeight="true" outlineLevel="0" collapsed="false">
      <c r="B10" s="28" t="n">
        <v>5</v>
      </c>
      <c r="C10" s="29" t="n">
        <v>46034</v>
      </c>
      <c r="D10" s="28" t="s">
        <v>60</v>
      </c>
      <c r="E10" s="28" t="s">
        <v>44</v>
      </c>
      <c r="F10" s="5" t="s">
        <v>67</v>
      </c>
      <c r="G10" s="28" t="s">
        <v>35</v>
      </c>
      <c r="H10" s="28" t="s">
        <v>13</v>
      </c>
      <c r="I10" s="30" t="n">
        <v>20</v>
      </c>
      <c r="J10" s="31" t="n">
        <v>1</v>
      </c>
      <c r="K10" s="32" t="n">
        <v>20</v>
      </c>
      <c r="L10" s="32"/>
      <c r="M10" s="10" t="n">
        <f aca="false">IF(K10="","",K10*Totales!$C$8)</f>
        <v>29600</v>
      </c>
      <c r="N10" s="33" t="s">
        <v>62</v>
      </c>
    </row>
    <row r="11" customFormat="false" ht="18" hidden="false" customHeight="true" outlineLevel="0" collapsed="false">
      <c r="B11" s="34" t="n">
        <v>6</v>
      </c>
      <c r="C11" s="35" t="n">
        <v>46037</v>
      </c>
      <c r="D11" s="34" t="s">
        <v>60</v>
      </c>
      <c r="E11" s="34" t="s">
        <v>44</v>
      </c>
      <c r="F11" s="14" t="s">
        <v>68</v>
      </c>
      <c r="G11" s="34" t="s">
        <v>35</v>
      </c>
      <c r="H11" s="34" t="s">
        <v>13</v>
      </c>
      <c r="I11" s="36" t="n">
        <v>5</v>
      </c>
      <c r="J11" s="37" t="n">
        <v>1</v>
      </c>
      <c r="K11" s="38" t="n">
        <v>5</v>
      </c>
      <c r="L11" s="38"/>
      <c r="M11" s="16" t="n">
        <f aca="false">IF(K11="","",K11*Totales!$C$8)</f>
        <v>7400</v>
      </c>
      <c r="N11" s="39" t="s">
        <v>62</v>
      </c>
    </row>
    <row r="12" customFormat="false" ht="18" hidden="false" customHeight="true" outlineLevel="0" collapsed="false">
      <c r="B12" s="28" t="n">
        <v>7</v>
      </c>
      <c r="C12" s="29" t="n">
        <v>46037</v>
      </c>
      <c r="D12" s="28" t="s">
        <v>60</v>
      </c>
      <c r="E12" s="28" t="s">
        <v>44</v>
      </c>
      <c r="F12" s="5" t="s">
        <v>69</v>
      </c>
      <c r="G12" s="28" t="s">
        <v>35</v>
      </c>
      <c r="H12" s="28" t="s">
        <v>13</v>
      </c>
      <c r="I12" s="30" t="n">
        <v>5</v>
      </c>
      <c r="J12" s="31" t="n">
        <v>1</v>
      </c>
      <c r="K12" s="32" t="n">
        <v>5</v>
      </c>
      <c r="L12" s="32"/>
      <c r="M12" s="10" t="n">
        <f aca="false">IF(K12="","",K12*Totales!$C$8)</f>
        <v>7400</v>
      </c>
      <c r="N12" s="33" t="s">
        <v>62</v>
      </c>
    </row>
    <row r="13" customFormat="false" ht="18" hidden="false" customHeight="true" outlineLevel="0" collapsed="false">
      <c r="B13" s="34" t="n">
        <v>8</v>
      </c>
      <c r="C13" s="35" t="n">
        <v>46053</v>
      </c>
      <c r="D13" s="34" t="s">
        <v>60</v>
      </c>
      <c r="E13" s="34" t="s">
        <v>44</v>
      </c>
      <c r="F13" s="14" t="s">
        <v>70</v>
      </c>
      <c r="G13" s="34" t="s">
        <v>35</v>
      </c>
      <c r="H13" s="34" t="s">
        <v>13</v>
      </c>
      <c r="I13" s="36" t="n">
        <v>20</v>
      </c>
      <c r="J13" s="37" t="n">
        <v>1</v>
      </c>
      <c r="K13" s="38" t="n">
        <v>20</v>
      </c>
      <c r="L13" s="38"/>
      <c r="M13" s="16" t="n">
        <f aca="false">IF(K13="","",K13*Totales!$C$8)</f>
        <v>29600</v>
      </c>
      <c r="N13" s="39" t="s">
        <v>62</v>
      </c>
    </row>
    <row r="14" customFormat="false" ht="18" hidden="false" customHeight="true" outlineLevel="0" collapsed="false">
      <c r="B14" s="28" t="n">
        <v>9</v>
      </c>
      <c r="C14" s="29" t="n">
        <v>46054</v>
      </c>
      <c r="D14" s="28" t="s">
        <v>71</v>
      </c>
      <c r="E14" s="28" t="s">
        <v>45</v>
      </c>
      <c r="F14" s="5" t="s">
        <v>72</v>
      </c>
      <c r="G14" s="28" t="s">
        <v>36</v>
      </c>
      <c r="H14" s="28" t="s">
        <v>13</v>
      </c>
      <c r="I14" s="30" t="n">
        <v>20.35</v>
      </c>
      <c r="J14" s="31" t="n">
        <v>1</v>
      </c>
      <c r="K14" s="32" t="n">
        <v>20.35</v>
      </c>
      <c r="L14" s="32"/>
      <c r="M14" s="10" t="n">
        <f aca="false">IF(K14="","",K14*Totales!$C$8)</f>
        <v>30118</v>
      </c>
      <c r="N14" s="33" t="s">
        <v>62</v>
      </c>
    </row>
    <row r="15" customFormat="false" ht="18" hidden="false" customHeight="true" outlineLevel="0" collapsed="false">
      <c r="B15" s="34" t="n">
        <v>10</v>
      </c>
      <c r="C15" s="35" t="n">
        <v>46054</v>
      </c>
      <c r="D15" s="34" t="s">
        <v>71</v>
      </c>
      <c r="E15" s="34" t="s">
        <v>45</v>
      </c>
      <c r="F15" s="14" t="s">
        <v>73</v>
      </c>
      <c r="G15" s="34" t="s">
        <v>36</v>
      </c>
      <c r="H15" s="34" t="s">
        <v>13</v>
      </c>
      <c r="I15" s="36" t="n">
        <v>5</v>
      </c>
      <c r="J15" s="37" t="n">
        <v>1</v>
      </c>
      <c r="K15" s="38" t="n">
        <v>5</v>
      </c>
      <c r="L15" s="38"/>
      <c r="M15" s="16" t="n">
        <f aca="false">IF(K15="","",K15*Totales!$C$8)</f>
        <v>7400</v>
      </c>
      <c r="N15" s="39" t="s">
        <v>62</v>
      </c>
    </row>
    <row r="16" customFormat="false" ht="18" hidden="false" customHeight="true" outlineLevel="0" collapsed="false">
      <c r="B16" s="28" t="n">
        <v>11</v>
      </c>
      <c r="C16" s="29" t="n">
        <v>46054</v>
      </c>
      <c r="D16" s="28" t="s">
        <v>71</v>
      </c>
      <c r="E16" s="28" t="s">
        <v>45</v>
      </c>
      <c r="F16" s="5" t="s">
        <v>74</v>
      </c>
      <c r="G16" s="28" t="s">
        <v>36</v>
      </c>
      <c r="H16" s="28" t="s">
        <v>13</v>
      </c>
      <c r="I16" s="30" t="n">
        <v>9.81</v>
      </c>
      <c r="J16" s="31" t="n">
        <v>1</v>
      </c>
      <c r="K16" s="32" t="n">
        <v>9.81</v>
      </c>
      <c r="L16" s="32"/>
      <c r="M16" s="10" t="n">
        <f aca="false">IF(K16="","",K16*Totales!$C$8)</f>
        <v>14518.8</v>
      </c>
      <c r="N16" s="33" t="s">
        <v>62</v>
      </c>
    </row>
    <row r="17" customFormat="false" ht="18" hidden="false" customHeight="true" outlineLevel="0" collapsed="false">
      <c r="B17" s="34" t="n">
        <v>12</v>
      </c>
      <c r="C17" s="35" t="n">
        <v>46054</v>
      </c>
      <c r="D17" s="34" t="s">
        <v>71</v>
      </c>
      <c r="E17" s="34" t="s">
        <v>45</v>
      </c>
      <c r="F17" s="14" t="s">
        <v>64</v>
      </c>
      <c r="G17" s="34" t="s">
        <v>35</v>
      </c>
      <c r="H17" s="34" t="s">
        <v>13</v>
      </c>
      <c r="I17" s="36" t="n">
        <v>20</v>
      </c>
      <c r="J17" s="37" t="n">
        <v>1</v>
      </c>
      <c r="K17" s="38" t="n">
        <v>20</v>
      </c>
      <c r="L17" s="38"/>
      <c r="M17" s="16" t="n">
        <f aca="false">IF(K17="","",K17*Totales!$C$8)</f>
        <v>29600</v>
      </c>
      <c r="N17" s="39" t="s">
        <v>62</v>
      </c>
    </row>
    <row r="18" customFormat="false" ht="18" hidden="false" customHeight="true" outlineLevel="0" collapsed="false">
      <c r="B18" s="28" t="n">
        <v>13</v>
      </c>
      <c r="C18" s="29" t="n">
        <v>46055</v>
      </c>
      <c r="D18" s="28" t="s">
        <v>71</v>
      </c>
      <c r="E18" s="28" t="s">
        <v>45</v>
      </c>
      <c r="F18" s="5" t="s">
        <v>75</v>
      </c>
      <c r="G18" s="28" t="s">
        <v>35</v>
      </c>
      <c r="H18" s="28" t="s">
        <v>13</v>
      </c>
      <c r="I18" s="30" t="n">
        <v>10</v>
      </c>
      <c r="J18" s="31" t="n">
        <v>1</v>
      </c>
      <c r="K18" s="32" t="n">
        <v>10</v>
      </c>
      <c r="L18" s="32"/>
      <c r="M18" s="10" t="n">
        <f aca="false">IF(K18="","",K18*Totales!$C$8)</f>
        <v>14800</v>
      </c>
      <c r="N18" s="33" t="s">
        <v>62</v>
      </c>
    </row>
    <row r="19" customFormat="false" ht="18" hidden="false" customHeight="true" outlineLevel="0" collapsed="false">
      <c r="B19" s="34" t="n">
        <v>14</v>
      </c>
      <c r="C19" s="35" t="n">
        <v>46081</v>
      </c>
      <c r="D19" s="34" t="s">
        <v>71</v>
      </c>
      <c r="E19" s="34" t="s">
        <v>44</v>
      </c>
      <c r="F19" s="14" t="s">
        <v>70</v>
      </c>
      <c r="G19" s="34" t="s">
        <v>35</v>
      </c>
      <c r="H19" s="34" t="s">
        <v>13</v>
      </c>
      <c r="I19" s="36" t="n">
        <v>20</v>
      </c>
      <c r="J19" s="37" t="n">
        <v>1</v>
      </c>
      <c r="K19" s="38" t="n">
        <v>20</v>
      </c>
      <c r="L19" s="38"/>
      <c r="M19" s="16" t="n">
        <f aca="false">IF(K19="","",K19*Totales!$C$8)</f>
        <v>29600</v>
      </c>
      <c r="N19" s="39" t="s">
        <v>62</v>
      </c>
    </row>
    <row r="20" customFormat="false" ht="18" hidden="false" customHeight="true" outlineLevel="0" collapsed="false">
      <c r="B20" s="28" t="n">
        <v>15</v>
      </c>
      <c r="C20" s="29" t="n">
        <v>46082</v>
      </c>
      <c r="D20" s="28" t="s">
        <v>76</v>
      </c>
      <c r="E20" s="28" t="s">
        <v>45</v>
      </c>
      <c r="F20" s="5" t="s">
        <v>63</v>
      </c>
      <c r="G20" s="28" t="s">
        <v>36</v>
      </c>
      <c r="H20" s="28" t="s">
        <v>13</v>
      </c>
      <c r="I20" s="30" t="n">
        <v>6</v>
      </c>
      <c r="J20" s="31" t="n">
        <v>1</v>
      </c>
      <c r="K20" s="32" t="n">
        <v>6</v>
      </c>
      <c r="L20" s="32"/>
      <c r="M20" s="10" t="n">
        <f aca="false">IF(K20="","",K20*Totales!$C$8)</f>
        <v>8880</v>
      </c>
      <c r="N20" s="33" t="s">
        <v>62</v>
      </c>
    </row>
    <row r="21" customFormat="false" ht="18" hidden="false" customHeight="true" outlineLevel="0" collapsed="false">
      <c r="B21" s="34" t="n">
        <v>16</v>
      </c>
      <c r="C21" s="35" t="n">
        <v>46082</v>
      </c>
      <c r="D21" s="34" t="s">
        <v>76</v>
      </c>
      <c r="E21" s="34" t="s">
        <v>45</v>
      </c>
      <c r="F21" s="14" t="s">
        <v>77</v>
      </c>
      <c r="G21" s="34" t="s">
        <v>36</v>
      </c>
      <c r="H21" s="34" t="s">
        <v>13</v>
      </c>
      <c r="I21" s="36" t="n">
        <v>16.29</v>
      </c>
      <c r="J21" s="37" t="n">
        <v>1</v>
      </c>
      <c r="K21" s="38" t="n">
        <v>16.29</v>
      </c>
      <c r="L21" s="38"/>
      <c r="M21" s="16" t="n">
        <f aca="false">IF(K21="","",K21*Totales!$C$8)</f>
        <v>24109.2</v>
      </c>
      <c r="N21" s="39" t="s">
        <v>62</v>
      </c>
    </row>
    <row r="22" customFormat="false" ht="18" hidden="false" customHeight="true" outlineLevel="0" collapsed="false">
      <c r="B22" s="28" t="n">
        <v>17</v>
      </c>
      <c r="C22" s="29" t="n">
        <v>46082</v>
      </c>
      <c r="D22" s="28" t="s">
        <v>76</v>
      </c>
      <c r="E22" s="28" t="s">
        <v>45</v>
      </c>
      <c r="F22" s="5" t="s">
        <v>78</v>
      </c>
      <c r="G22" s="28" t="s">
        <v>36</v>
      </c>
      <c r="H22" s="28" t="s">
        <v>13</v>
      </c>
      <c r="I22" s="30" t="n">
        <v>3.64</v>
      </c>
      <c r="J22" s="31" t="n">
        <v>1</v>
      </c>
      <c r="K22" s="32" t="n">
        <v>3.64</v>
      </c>
      <c r="L22" s="32"/>
      <c r="M22" s="10" t="n">
        <f aca="false">IF(K22="","",K22*Totales!$C$8)</f>
        <v>5387.2</v>
      </c>
      <c r="N22" s="33" t="s">
        <v>62</v>
      </c>
    </row>
    <row r="23" customFormat="false" ht="18" hidden="false" customHeight="true" outlineLevel="0" collapsed="false">
      <c r="B23" s="34" t="n">
        <v>18</v>
      </c>
      <c r="C23" s="35" t="n">
        <v>46082</v>
      </c>
      <c r="D23" s="34" t="s">
        <v>76</v>
      </c>
      <c r="E23" s="34" t="s">
        <v>45</v>
      </c>
      <c r="F23" s="14" t="s">
        <v>79</v>
      </c>
      <c r="G23" s="34" t="s">
        <v>36</v>
      </c>
      <c r="H23" s="34" t="s">
        <v>13</v>
      </c>
      <c r="I23" s="36" t="n">
        <v>17.25</v>
      </c>
      <c r="J23" s="37" t="n">
        <v>1</v>
      </c>
      <c r="K23" s="38" t="n">
        <v>17.25</v>
      </c>
      <c r="L23" s="38"/>
      <c r="M23" s="16" t="n">
        <f aca="false">IF(K23="","",K23*Totales!$C$8)</f>
        <v>25530</v>
      </c>
      <c r="N23" s="39" t="s">
        <v>62</v>
      </c>
    </row>
    <row r="24" customFormat="false" ht="18" hidden="false" customHeight="true" outlineLevel="0" collapsed="false">
      <c r="B24" s="28" t="n">
        <v>19</v>
      </c>
      <c r="C24" s="29" t="n">
        <v>46082</v>
      </c>
      <c r="D24" s="28" t="s">
        <v>76</v>
      </c>
      <c r="E24" s="28" t="s">
        <v>45</v>
      </c>
      <c r="F24" s="5" t="s">
        <v>64</v>
      </c>
      <c r="G24" s="28" t="s">
        <v>35</v>
      </c>
      <c r="H24" s="28" t="s">
        <v>13</v>
      </c>
      <c r="I24" s="30" t="n">
        <v>20</v>
      </c>
      <c r="J24" s="31" t="n">
        <v>1</v>
      </c>
      <c r="K24" s="32" t="n">
        <v>20</v>
      </c>
      <c r="L24" s="32"/>
      <c r="M24" s="10" t="n">
        <f aca="false">IF(K24="","",K24*Totales!$C$8)</f>
        <v>29600</v>
      </c>
      <c r="N24" s="33" t="s">
        <v>62</v>
      </c>
    </row>
    <row r="25" customFormat="false" ht="18" hidden="false" customHeight="true" outlineLevel="0" collapsed="false">
      <c r="B25" s="34" t="n">
        <v>20</v>
      </c>
      <c r="C25" s="35" t="n">
        <v>46088</v>
      </c>
      <c r="D25" s="34" t="s">
        <v>76</v>
      </c>
      <c r="E25" s="34" t="s">
        <v>45</v>
      </c>
      <c r="F25" s="14" t="s">
        <v>75</v>
      </c>
      <c r="G25" s="34" t="s">
        <v>35</v>
      </c>
      <c r="H25" s="34" t="s">
        <v>13</v>
      </c>
      <c r="I25" s="36" t="n">
        <v>20</v>
      </c>
      <c r="J25" s="37" t="n">
        <v>1</v>
      </c>
      <c r="K25" s="38" t="n">
        <v>20</v>
      </c>
      <c r="L25" s="38"/>
      <c r="M25" s="16" t="n">
        <f aca="false">IF(K25="","",K25*Totales!$C$8)</f>
        <v>29600</v>
      </c>
      <c r="N25" s="39" t="s">
        <v>62</v>
      </c>
    </row>
    <row r="26" customFormat="false" ht="18" hidden="false" customHeight="true" outlineLevel="0" collapsed="false">
      <c r="B26" s="28" t="n">
        <v>21</v>
      </c>
      <c r="C26" s="29" t="n">
        <v>46091</v>
      </c>
      <c r="D26" s="28" t="s">
        <v>76</v>
      </c>
      <c r="E26" s="28" t="s">
        <v>44</v>
      </c>
      <c r="F26" s="5" t="s">
        <v>80</v>
      </c>
      <c r="G26" s="28" t="s">
        <v>36</v>
      </c>
      <c r="H26" s="28" t="s">
        <v>13</v>
      </c>
      <c r="I26" s="30" t="n">
        <v>9</v>
      </c>
      <c r="J26" s="31" t="n">
        <v>1</v>
      </c>
      <c r="K26" s="32" t="n">
        <v>9</v>
      </c>
      <c r="L26" s="32"/>
      <c r="M26" s="10" t="n">
        <f aca="false">IF(K26="","",K26*Totales!$C$8)</f>
        <v>13320</v>
      </c>
      <c r="N26" s="33" t="s">
        <v>62</v>
      </c>
    </row>
    <row r="27" customFormat="false" ht="18" hidden="false" customHeight="true" outlineLevel="0" collapsed="false">
      <c r="B27" s="34" t="n">
        <v>22</v>
      </c>
      <c r="C27" s="35" t="n">
        <v>46100</v>
      </c>
      <c r="D27" s="34" t="s">
        <v>76</v>
      </c>
      <c r="E27" s="34" t="s">
        <v>45</v>
      </c>
      <c r="F27" s="14" t="s">
        <v>75</v>
      </c>
      <c r="G27" s="34" t="s">
        <v>35</v>
      </c>
      <c r="H27" s="34" t="s">
        <v>13</v>
      </c>
      <c r="I27" s="36" t="n">
        <v>10.08</v>
      </c>
      <c r="J27" s="37" t="n">
        <v>1</v>
      </c>
      <c r="K27" s="38" t="n">
        <v>10.08</v>
      </c>
      <c r="L27" s="38"/>
      <c r="M27" s="16" t="n">
        <f aca="false">IF(K27="","",K27*Totales!$C$8)</f>
        <v>14918.4</v>
      </c>
      <c r="N27" s="39" t="s">
        <v>62</v>
      </c>
    </row>
    <row r="28" customFormat="false" ht="18" hidden="false" customHeight="true" outlineLevel="0" collapsed="false">
      <c r="B28" s="28" t="n">
        <v>23</v>
      </c>
      <c r="C28" s="29" t="n">
        <v>46107</v>
      </c>
      <c r="D28" s="28" t="s">
        <v>76</v>
      </c>
      <c r="E28" s="28" t="s">
        <v>45</v>
      </c>
      <c r="F28" s="5" t="s">
        <v>81</v>
      </c>
      <c r="G28" s="28" t="s">
        <v>38</v>
      </c>
      <c r="H28" s="28" t="s">
        <v>14</v>
      </c>
      <c r="I28" s="30" t="n">
        <v>38500</v>
      </c>
      <c r="J28" s="31" t="n">
        <v>1515</v>
      </c>
      <c r="K28" s="32" t="n">
        <v>25.41254125</v>
      </c>
      <c r="L28" s="32" t="n">
        <v>38500</v>
      </c>
      <c r="M28" s="10" t="n">
        <f aca="false">IF(K28="","",K28*Totales!$C$8)</f>
        <v>37610.56105</v>
      </c>
      <c r="N28" s="33" t="s">
        <v>62</v>
      </c>
    </row>
    <row r="29" customFormat="false" ht="18" hidden="false" customHeight="true" outlineLevel="0" collapsed="false">
      <c r="B29" s="34" t="n">
        <v>24</v>
      </c>
      <c r="C29" s="35" t="n">
        <v>46113</v>
      </c>
      <c r="D29" s="34" t="s">
        <v>82</v>
      </c>
      <c r="E29" s="34" t="s">
        <v>45</v>
      </c>
      <c r="F29" s="14" t="s">
        <v>72</v>
      </c>
      <c r="G29" s="34" t="s">
        <v>36</v>
      </c>
      <c r="H29" s="34" t="s">
        <v>13</v>
      </c>
      <c r="I29" s="36" t="n">
        <v>20</v>
      </c>
      <c r="J29" s="37" t="n">
        <v>1</v>
      </c>
      <c r="K29" s="38" t="n">
        <v>20</v>
      </c>
      <c r="L29" s="38"/>
      <c r="M29" s="16" t="n">
        <f aca="false">IF(K29="","",K29*Totales!$C$8)</f>
        <v>29600</v>
      </c>
      <c r="N29" s="39" t="s">
        <v>62</v>
      </c>
    </row>
    <row r="30" customFormat="false" ht="18" hidden="false" customHeight="true" outlineLevel="0" collapsed="false">
      <c r="B30" s="28" t="n">
        <v>25</v>
      </c>
      <c r="C30" s="29" t="n">
        <v>46113</v>
      </c>
      <c r="D30" s="28" t="s">
        <v>82</v>
      </c>
      <c r="E30" s="28" t="s">
        <v>45</v>
      </c>
      <c r="F30" s="5" t="s">
        <v>83</v>
      </c>
      <c r="G30" s="28" t="s">
        <v>35</v>
      </c>
      <c r="H30" s="28" t="s">
        <v>13</v>
      </c>
      <c r="I30" s="30" t="n">
        <v>20</v>
      </c>
      <c r="J30" s="31" t="n">
        <v>1</v>
      </c>
      <c r="K30" s="32" t="n">
        <v>20</v>
      </c>
      <c r="L30" s="32"/>
      <c r="M30" s="10" t="n">
        <f aca="false">IF(K30="","",K30*Totales!$C$8)</f>
        <v>29600</v>
      </c>
      <c r="N30" s="33" t="s">
        <v>62</v>
      </c>
    </row>
    <row r="31" customFormat="false" ht="18" hidden="false" customHeight="true" outlineLevel="0" collapsed="false">
      <c r="B31" s="34" t="n">
        <v>26</v>
      </c>
      <c r="C31" s="35" t="n">
        <v>46113</v>
      </c>
      <c r="D31" s="34" t="s">
        <v>82</v>
      </c>
      <c r="E31" s="34" t="s">
        <v>46</v>
      </c>
      <c r="F31" s="14" t="s">
        <v>84</v>
      </c>
      <c r="G31" s="34" t="s">
        <v>36</v>
      </c>
      <c r="H31" s="34" t="s">
        <v>13</v>
      </c>
      <c r="I31" s="36" t="n">
        <v>6</v>
      </c>
      <c r="J31" s="37" t="n">
        <v>1</v>
      </c>
      <c r="K31" s="38" t="n">
        <v>6</v>
      </c>
      <c r="L31" s="38"/>
      <c r="M31" s="16" t="n">
        <f aca="false">IF(K31="","",K31*Totales!$C$8)</f>
        <v>8880</v>
      </c>
      <c r="N31" s="39" t="s">
        <v>62</v>
      </c>
    </row>
    <row r="32" customFormat="false" ht="18" hidden="false" customHeight="true" outlineLevel="0" collapsed="false">
      <c r="B32" s="28" t="n">
        <v>27</v>
      </c>
      <c r="C32" s="29" t="n">
        <v>46113</v>
      </c>
      <c r="D32" s="28" t="s">
        <v>82</v>
      </c>
      <c r="E32" s="28" t="s">
        <v>46</v>
      </c>
      <c r="F32" s="5" t="s">
        <v>70</v>
      </c>
      <c r="G32" s="28" t="s">
        <v>35</v>
      </c>
      <c r="H32" s="28" t="s">
        <v>13</v>
      </c>
      <c r="I32" s="30" t="n">
        <v>20</v>
      </c>
      <c r="J32" s="31" t="n">
        <v>1</v>
      </c>
      <c r="K32" s="32" t="n">
        <v>20</v>
      </c>
      <c r="L32" s="32"/>
      <c r="M32" s="10" t="n">
        <f aca="false">IF(K32="","",K32*Totales!$C$8)</f>
        <v>29600</v>
      </c>
      <c r="N32" s="33" t="s">
        <v>62</v>
      </c>
    </row>
    <row r="33" customFormat="false" ht="18" hidden="false" customHeight="true" outlineLevel="0" collapsed="false">
      <c r="B33" s="34" t="n">
        <v>28</v>
      </c>
      <c r="C33" s="35" t="n">
        <v>46114</v>
      </c>
      <c r="D33" s="34" t="s">
        <v>82</v>
      </c>
      <c r="E33" s="34" t="s">
        <v>45</v>
      </c>
      <c r="F33" s="14" t="s">
        <v>85</v>
      </c>
      <c r="G33" s="34" t="s">
        <v>36</v>
      </c>
      <c r="H33" s="34" t="s">
        <v>13</v>
      </c>
      <c r="I33" s="36" t="n">
        <v>63.39</v>
      </c>
      <c r="J33" s="37" t="n">
        <v>1</v>
      </c>
      <c r="K33" s="38" t="n">
        <v>63.39</v>
      </c>
      <c r="L33" s="38"/>
      <c r="M33" s="16" t="n">
        <f aca="false">IF(K33="","",K33*Totales!$C$8)</f>
        <v>93817.2</v>
      </c>
      <c r="N33" s="39" t="s">
        <v>62</v>
      </c>
    </row>
    <row r="34" customFormat="false" ht="18" hidden="false" customHeight="true" outlineLevel="0" collapsed="false">
      <c r="B34" s="28" t="n">
        <v>29</v>
      </c>
      <c r="C34" s="29" t="n">
        <v>46119</v>
      </c>
      <c r="D34" s="28" t="s">
        <v>82</v>
      </c>
      <c r="E34" s="28" t="s">
        <v>48</v>
      </c>
      <c r="F34" s="5" t="s">
        <v>73</v>
      </c>
      <c r="G34" s="28" t="s">
        <v>36</v>
      </c>
      <c r="H34" s="28" t="s">
        <v>13</v>
      </c>
      <c r="I34" s="30" t="n">
        <v>5</v>
      </c>
      <c r="J34" s="31" t="n">
        <v>1</v>
      </c>
      <c r="K34" s="32" t="n">
        <v>5</v>
      </c>
      <c r="L34" s="32"/>
      <c r="M34" s="10" t="n">
        <f aca="false">IF(K34="","",K34*Totales!$C$8)</f>
        <v>7400</v>
      </c>
      <c r="N34" s="7" t="s">
        <v>66</v>
      </c>
    </row>
    <row r="35" customFormat="false" ht="18" hidden="false" customHeight="true" outlineLevel="0" collapsed="false">
      <c r="B35" s="34" t="n">
        <v>30</v>
      </c>
      <c r="C35" s="35" t="n">
        <v>46125</v>
      </c>
      <c r="D35" s="34" t="s">
        <v>82</v>
      </c>
      <c r="E35" s="34" t="s">
        <v>46</v>
      </c>
      <c r="F35" s="14" t="s">
        <v>86</v>
      </c>
      <c r="G35" s="34" t="s">
        <v>37</v>
      </c>
      <c r="H35" s="34" t="s">
        <v>14</v>
      </c>
      <c r="I35" s="36" t="n">
        <v>21880</v>
      </c>
      <c r="J35" s="37" t="n">
        <v>1515</v>
      </c>
      <c r="K35" s="38" t="n">
        <v>14.44224422</v>
      </c>
      <c r="L35" s="38" t="n">
        <v>21880</v>
      </c>
      <c r="M35" s="16" t="n">
        <f aca="false">IF(K35="","",K35*Totales!$C$8)</f>
        <v>21374.5214456</v>
      </c>
      <c r="N35" s="39" t="s">
        <v>62</v>
      </c>
    </row>
    <row r="36" customFormat="false" ht="18" hidden="false" customHeight="true" outlineLevel="0" collapsed="false">
      <c r="B36" s="28" t="n">
        <v>31</v>
      </c>
      <c r="C36" s="29" t="n">
        <v>46127</v>
      </c>
      <c r="D36" s="28" t="s">
        <v>82</v>
      </c>
      <c r="E36" s="28" t="s">
        <v>46</v>
      </c>
      <c r="F36" s="5" t="s">
        <v>87</v>
      </c>
      <c r="G36" s="28" t="s">
        <v>37</v>
      </c>
      <c r="H36" s="28" t="s">
        <v>14</v>
      </c>
      <c r="I36" s="30" t="n">
        <v>17790</v>
      </c>
      <c r="J36" s="31" t="n">
        <v>1515</v>
      </c>
      <c r="K36" s="32" t="n">
        <v>11.74257426</v>
      </c>
      <c r="L36" s="32" t="n">
        <v>17790</v>
      </c>
      <c r="M36" s="10" t="n">
        <f aca="false">IF(K36="","",K36*Totales!$C$8)</f>
        <v>17379.0099048</v>
      </c>
      <c r="N36" s="33" t="s">
        <v>62</v>
      </c>
    </row>
    <row r="37" customFormat="false" ht="18" hidden="false" customHeight="true" outlineLevel="0" collapsed="false">
      <c r="B37" s="34" t="n">
        <v>32</v>
      </c>
      <c r="C37" s="35" t="n">
        <v>46127</v>
      </c>
      <c r="D37" s="34" t="s">
        <v>82</v>
      </c>
      <c r="E37" s="34" t="s">
        <v>46</v>
      </c>
      <c r="F37" s="14" t="s">
        <v>87</v>
      </c>
      <c r="G37" s="34" t="s">
        <v>37</v>
      </c>
      <c r="H37" s="34" t="s">
        <v>14</v>
      </c>
      <c r="I37" s="36" t="n">
        <v>4985</v>
      </c>
      <c r="J37" s="37" t="n">
        <v>1515</v>
      </c>
      <c r="K37" s="38" t="n">
        <v>3.290429043</v>
      </c>
      <c r="L37" s="38" t="n">
        <v>4985</v>
      </c>
      <c r="M37" s="16" t="n">
        <f aca="false">IF(K37="","",K37*Totales!$C$8)</f>
        <v>4869.83498364</v>
      </c>
      <c r="N37" s="39" t="s">
        <v>62</v>
      </c>
    </row>
    <row r="38" customFormat="false" ht="18" hidden="false" customHeight="true" outlineLevel="0" collapsed="false">
      <c r="B38" s="28" t="n">
        <v>33</v>
      </c>
      <c r="C38" s="29" t="n">
        <v>46127</v>
      </c>
      <c r="D38" s="28" t="s">
        <v>82</v>
      </c>
      <c r="E38" s="28" t="s">
        <v>46</v>
      </c>
      <c r="F38" s="5" t="s">
        <v>88</v>
      </c>
      <c r="G38" s="28" t="s">
        <v>37</v>
      </c>
      <c r="H38" s="28" t="s">
        <v>14</v>
      </c>
      <c r="I38" s="30" t="n">
        <v>4374</v>
      </c>
      <c r="J38" s="31" t="n">
        <v>1515</v>
      </c>
      <c r="K38" s="32" t="n">
        <v>2.887128713</v>
      </c>
      <c r="L38" s="32" t="n">
        <v>4374</v>
      </c>
      <c r="M38" s="10" t="n">
        <f aca="false">IF(K38="","",K38*Totales!$C$8)</f>
        <v>4272.95049524</v>
      </c>
      <c r="N38" s="33" t="s">
        <v>62</v>
      </c>
    </row>
    <row r="39" customFormat="false" ht="18" hidden="false" customHeight="true" outlineLevel="0" collapsed="false">
      <c r="B39" s="34" t="n">
        <v>34</v>
      </c>
      <c r="C39" s="35" t="n">
        <v>46127</v>
      </c>
      <c r="D39" s="34" t="s">
        <v>82</v>
      </c>
      <c r="E39" s="34" t="s">
        <v>46</v>
      </c>
      <c r="F39" s="14" t="s">
        <v>89</v>
      </c>
      <c r="G39" s="34" t="s">
        <v>37</v>
      </c>
      <c r="H39" s="34" t="s">
        <v>14</v>
      </c>
      <c r="I39" s="36" t="n">
        <v>2350</v>
      </c>
      <c r="J39" s="37" t="n">
        <v>1515</v>
      </c>
      <c r="K39" s="38" t="n">
        <v>1.551155116</v>
      </c>
      <c r="L39" s="38" t="n">
        <v>2350</v>
      </c>
      <c r="M39" s="16" t="n">
        <f aca="false">IF(K39="","",K39*Totales!$C$8)</f>
        <v>2295.70957168</v>
      </c>
      <c r="N39" s="39" t="s">
        <v>62</v>
      </c>
    </row>
    <row r="40" customFormat="false" ht="18" hidden="false" customHeight="true" outlineLevel="0" collapsed="false">
      <c r="B40" s="28" t="n">
        <v>35</v>
      </c>
      <c r="C40" s="29" t="n">
        <v>46133</v>
      </c>
      <c r="D40" s="28" t="s">
        <v>82</v>
      </c>
      <c r="E40" s="28" t="s">
        <v>46</v>
      </c>
      <c r="F40" s="5" t="s">
        <v>90</v>
      </c>
      <c r="G40" s="28" t="s">
        <v>37</v>
      </c>
      <c r="H40" s="28" t="s">
        <v>14</v>
      </c>
      <c r="I40" s="30" t="n">
        <v>11130</v>
      </c>
      <c r="J40" s="31" t="n">
        <v>1515</v>
      </c>
      <c r="K40" s="32" t="n">
        <v>7.346534653</v>
      </c>
      <c r="L40" s="32" t="n">
        <v>11130</v>
      </c>
      <c r="M40" s="10" t="n">
        <f aca="false">IF(K40="","",K40*Totales!$C$8)</f>
        <v>10872.87128644</v>
      </c>
      <c r="N40" s="33" t="s">
        <v>62</v>
      </c>
    </row>
    <row r="41" customFormat="false" ht="18" hidden="false" customHeight="true" outlineLevel="0" collapsed="false">
      <c r="B41" s="34" t="n">
        <v>36</v>
      </c>
      <c r="C41" s="35" t="n">
        <v>46133</v>
      </c>
      <c r="D41" s="34" t="s">
        <v>82</v>
      </c>
      <c r="E41" s="34" t="s">
        <v>46</v>
      </c>
      <c r="F41" s="14" t="s">
        <v>91</v>
      </c>
      <c r="G41" s="34" t="s">
        <v>37</v>
      </c>
      <c r="H41" s="34" t="s">
        <v>14</v>
      </c>
      <c r="I41" s="36" t="n">
        <v>14582</v>
      </c>
      <c r="J41" s="37" t="n">
        <v>1515</v>
      </c>
      <c r="K41" s="38" t="n">
        <v>9.625082508</v>
      </c>
      <c r="L41" s="38" t="n">
        <v>14582</v>
      </c>
      <c r="M41" s="16" t="n">
        <f aca="false">IF(K41="","",K41*Totales!$C$8)</f>
        <v>14245.12211184</v>
      </c>
      <c r="N41" s="39" t="s">
        <v>62</v>
      </c>
    </row>
    <row r="42" customFormat="false" ht="18" hidden="false" customHeight="true" outlineLevel="0" collapsed="false">
      <c r="B42" s="28" t="n">
        <v>37</v>
      </c>
      <c r="C42" s="29" t="n">
        <v>46134</v>
      </c>
      <c r="D42" s="28" t="s">
        <v>82</v>
      </c>
      <c r="E42" s="28" t="s">
        <v>46</v>
      </c>
      <c r="F42" s="5" t="s">
        <v>92</v>
      </c>
      <c r="G42" s="28" t="s">
        <v>37</v>
      </c>
      <c r="H42" s="28" t="s">
        <v>14</v>
      </c>
      <c r="I42" s="30" t="n">
        <v>31918</v>
      </c>
      <c r="J42" s="31" t="n">
        <v>1515</v>
      </c>
      <c r="K42" s="32" t="n">
        <v>21.0679868</v>
      </c>
      <c r="L42" s="32" t="n">
        <v>31918</v>
      </c>
      <c r="M42" s="10" t="n">
        <f aca="false">IF(K42="","",K42*Totales!$C$8)</f>
        <v>31180.620464</v>
      </c>
      <c r="N42" s="33" t="s">
        <v>62</v>
      </c>
    </row>
    <row r="43" customFormat="false" ht="18" hidden="false" customHeight="true" outlineLevel="0" collapsed="false">
      <c r="B43" s="34" t="n">
        <v>38</v>
      </c>
      <c r="C43" s="35" t="n">
        <v>46135</v>
      </c>
      <c r="D43" s="34" t="s">
        <v>82</v>
      </c>
      <c r="E43" s="34" t="s">
        <v>46</v>
      </c>
      <c r="F43" s="14" t="s">
        <v>93</v>
      </c>
      <c r="G43" s="34" t="s">
        <v>37</v>
      </c>
      <c r="H43" s="34" t="s">
        <v>14</v>
      </c>
      <c r="I43" s="36" t="n">
        <v>18766</v>
      </c>
      <c r="J43" s="37" t="n">
        <v>1515</v>
      </c>
      <c r="K43" s="38" t="n">
        <v>12.38679868</v>
      </c>
      <c r="L43" s="38" t="n">
        <v>18766</v>
      </c>
      <c r="M43" s="16" t="n">
        <f aca="false">IF(K43="","",K43*Totales!$C$8)</f>
        <v>18332.4620464</v>
      </c>
      <c r="N43" s="39" t="s">
        <v>62</v>
      </c>
    </row>
    <row r="44" customFormat="false" ht="18" hidden="false" customHeight="true" outlineLevel="0" collapsed="false">
      <c r="B44" s="28" t="n">
        <v>39</v>
      </c>
      <c r="C44" s="29" t="n">
        <v>46143</v>
      </c>
      <c r="D44" s="28" t="s">
        <v>94</v>
      </c>
      <c r="E44" s="28" t="s">
        <v>46</v>
      </c>
      <c r="F44" s="5" t="s">
        <v>95</v>
      </c>
      <c r="G44" s="28" t="s">
        <v>36</v>
      </c>
      <c r="H44" s="28" t="s">
        <v>13</v>
      </c>
      <c r="I44" s="30" t="n">
        <v>5</v>
      </c>
      <c r="J44" s="31" t="n">
        <v>1</v>
      </c>
      <c r="K44" s="32" t="n">
        <v>5</v>
      </c>
      <c r="L44" s="32"/>
      <c r="M44" s="10" t="n">
        <f aca="false">IF(K44="","",K44*Totales!$C$8)</f>
        <v>7400</v>
      </c>
      <c r="N44" s="33" t="s">
        <v>62</v>
      </c>
    </row>
    <row r="45" customFormat="false" ht="18" hidden="false" customHeight="true" outlineLevel="0" collapsed="false">
      <c r="B45" s="34" t="n">
        <v>40</v>
      </c>
      <c r="C45" s="35" t="n">
        <v>46143</v>
      </c>
      <c r="D45" s="34" t="s">
        <v>94</v>
      </c>
      <c r="E45" s="34" t="s">
        <v>46</v>
      </c>
      <c r="F45" s="14" t="s">
        <v>84</v>
      </c>
      <c r="G45" s="34" t="s">
        <v>36</v>
      </c>
      <c r="H45" s="34" t="s">
        <v>13</v>
      </c>
      <c r="I45" s="36" t="n">
        <v>6</v>
      </c>
      <c r="J45" s="37" t="n">
        <v>1</v>
      </c>
      <c r="K45" s="38" t="n">
        <v>6</v>
      </c>
      <c r="L45" s="38"/>
      <c r="M45" s="16" t="n">
        <f aca="false">IF(K45="","",K45*Totales!$C$8)</f>
        <v>8880</v>
      </c>
      <c r="N45" s="39" t="s">
        <v>62</v>
      </c>
    </row>
    <row r="46" customFormat="false" ht="18" hidden="false" customHeight="true" outlineLevel="0" collapsed="false">
      <c r="B46" s="28" t="n">
        <v>41</v>
      </c>
      <c r="C46" s="29" t="n">
        <v>46146</v>
      </c>
      <c r="D46" s="28" t="s">
        <v>94</v>
      </c>
      <c r="E46" s="28" t="s">
        <v>46</v>
      </c>
      <c r="F46" s="5" t="s">
        <v>87</v>
      </c>
      <c r="G46" s="28" t="s">
        <v>37</v>
      </c>
      <c r="H46" s="28" t="s">
        <v>14</v>
      </c>
      <c r="I46" s="30" t="n">
        <v>4081</v>
      </c>
      <c r="J46" s="31" t="n">
        <v>1515</v>
      </c>
      <c r="K46" s="32" t="n">
        <v>2.693729373</v>
      </c>
      <c r="L46" s="32" t="n">
        <v>4081</v>
      </c>
      <c r="M46" s="10" t="n">
        <f aca="false">IF(K46="","",K46*Totales!$C$8)</f>
        <v>3986.71947204</v>
      </c>
      <c r="N46" s="33" t="s">
        <v>62</v>
      </c>
    </row>
    <row r="47" customFormat="false" ht="18" hidden="false" customHeight="true" outlineLevel="0" collapsed="false">
      <c r="B47" s="34" t="n">
        <v>42</v>
      </c>
      <c r="C47" s="35" t="n">
        <v>46151</v>
      </c>
      <c r="D47" s="34" t="s">
        <v>94</v>
      </c>
      <c r="E47" s="34" t="s">
        <v>46</v>
      </c>
      <c r="F47" s="14" t="s">
        <v>96</v>
      </c>
      <c r="G47" s="34" t="s">
        <v>37</v>
      </c>
      <c r="H47" s="34" t="s">
        <v>14</v>
      </c>
      <c r="I47" s="36" t="n">
        <v>19426</v>
      </c>
      <c r="J47" s="37" t="n">
        <v>1515</v>
      </c>
      <c r="K47" s="38" t="n">
        <v>12.82244224</v>
      </c>
      <c r="L47" s="38" t="n">
        <v>19426</v>
      </c>
      <c r="M47" s="16" t="n">
        <f aca="false">IF(K47="","",K47*Totales!$C$8)</f>
        <v>18977.2145152</v>
      </c>
      <c r="N47" s="39" t="s">
        <v>62</v>
      </c>
    </row>
    <row r="48" customFormat="false" ht="18" hidden="false" customHeight="true" outlineLevel="0" collapsed="false">
      <c r="B48" s="28" t="n">
        <v>43</v>
      </c>
      <c r="C48" s="29" t="n">
        <v>46155</v>
      </c>
      <c r="D48" s="28" t="s">
        <v>94</v>
      </c>
      <c r="E48" s="28" t="s">
        <v>46</v>
      </c>
      <c r="F48" s="5" t="s">
        <v>97</v>
      </c>
      <c r="G48" s="28" t="s">
        <v>36</v>
      </c>
      <c r="H48" s="28" t="s">
        <v>13</v>
      </c>
      <c r="I48" s="30" t="n">
        <v>20</v>
      </c>
      <c r="J48" s="31" t="n">
        <v>1</v>
      </c>
      <c r="K48" s="32" t="n">
        <v>20</v>
      </c>
      <c r="L48" s="32"/>
      <c r="M48" s="10" t="n">
        <f aca="false">IF(K48="","",K48*Totales!$C$8)</f>
        <v>29600</v>
      </c>
      <c r="N48" s="33" t="s">
        <v>62</v>
      </c>
    </row>
    <row r="49" customFormat="false" ht="18" hidden="false" customHeight="true" outlineLevel="0" collapsed="false">
      <c r="B49" s="34" t="n">
        <v>44</v>
      </c>
      <c r="C49" s="35" t="n">
        <v>46155</v>
      </c>
      <c r="D49" s="34" t="s">
        <v>94</v>
      </c>
      <c r="E49" s="34" t="s">
        <v>47</v>
      </c>
      <c r="F49" s="14" t="s">
        <v>98</v>
      </c>
      <c r="G49" s="34" t="s">
        <v>37</v>
      </c>
      <c r="H49" s="34" t="s">
        <v>14</v>
      </c>
      <c r="I49" s="36" t="n">
        <v>7119</v>
      </c>
      <c r="J49" s="37" t="n">
        <v>1450</v>
      </c>
      <c r="K49" s="38" t="n">
        <v>4.909655172</v>
      </c>
      <c r="L49" s="38" t="n">
        <v>7119</v>
      </c>
      <c r="M49" s="16" t="n">
        <f aca="false">IF(K49="","",K49*Totales!$C$8)</f>
        <v>7266.28965456</v>
      </c>
      <c r="N49" s="40" t="s">
        <v>66</v>
      </c>
    </row>
    <row r="50" customFormat="false" ht="18" hidden="false" customHeight="true" outlineLevel="0" collapsed="false">
      <c r="B50" s="28" t="n">
        <v>45</v>
      </c>
      <c r="C50" s="29" t="n">
        <v>46156</v>
      </c>
      <c r="D50" s="28" t="s">
        <v>94</v>
      </c>
      <c r="E50" s="28" t="s">
        <v>47</v>
      </c>
      <c r="F50" s="5" t="s">
        <v>98</v>
      </c>
      <c r="G50" s="28" t="s">
        <v>37</v>
      </c>
      <c r="H50" s="28" t="s">
        <v>14</v>
      </c>
      <c r="I50" s="30" t="n">
        <v>15883</v>
      </c>
      <c r="J50" s="31" t="n">
        <v>1450</v>
      </c>
      <c r="K50" s="32" t="n">
        <v>10.9537931</v>
      </c>
      <c r="L50" s="32" t="n">
        <v>15883</v>
      </c>
      <c r="M50" s="10" t="n">
        <f aca="false">IF(K50="","",K50*Totales!$C$8)</f>
        <v>16211.613788</v>
      </c>
      <c r="N50" s="7" t="s">
        <v>66</v>
      </c>
    </row>
    <row r="51" customFormat="false" ht="18" hidden="false" customHeight="true" outlineLevel="0" collapsed="false">
      <c r="B51" s="34" t="n">
        <v>46</v>
      </c>
      <c r="C51" s="35" t="n">
        <v>46163</v>
      </c>
      <c r="D51" s="34" t="s">
        <v>94</v>
      </c>
      <c r="E51" s="34" t="s">
        <v>46</v>
      </c>
      <c r="F51" s="14" t="s">
        <v>99</v>
      </c>
      <c r="G51" s="34" t="s">
        <v>35</v>
      </c>
      <c r="H51" s="34" t="s">
        <v>13</v>
      </c>
      <c r="I51" s="36" t="n">
        <v>20</v>
      </c>
      <c r="J51" s="37" t="n">
        <v>1</v>
      </c>
      <c r="K51" s="38" t="n">
        <v>20</v>
      </c>
      <c r="L51" s="38"/>
      <c r="M51" s="16" t="n">
        <f aca="false">IF(K51="","",K51*Totales!$C$8)</f>
        <v>29600</v>
      </c>
      <c r="N51" s="39" t="s">
        <v>62</v>
      </c>
    </row>
    <row r="52" customFormat="false" ht="18" hidden="false" customHeight="true" outlineLevel="0" collapsed="false">
      <c r="B52" s="28" t="n">
        <v>47</v>
      </c>
      <c r="C52" s="29" t="n">
        <v>46163</v>
      </c>
      <c r="D52" s="28" t="s">
        <v>94</v>
      </c>
      <c r="E52" s="28" t="s">
        <v>47</v>
      </c>
      <c r="F52" s="5" t="s">
        <v>100</v>
      </c>
      <c r="G52" s="28" t="s">
        <v>35</v>
      </c>
      <c r="H52" s="28" t="s">
        <v>13</v>
      </c>
      <c r="I52" s="30" t="n">
        <v>20</v>
      </c>
      <c r="J52" s="31" t="n">
        <v>1</v>
      </c>
      <c r="K52" s="32" t="n">
        <v>20</v>
      </c>
      <c r="L52" s="32"/>
      <c r="M52" s="10" t="n">
        <f aca="false">IF(K52="","",K52*Totales!$C$8)</f>
        <v>29600</v>
      </c>
      <c r="N52" s="7" t="s">
        <v>66</v>
      </c>
    </row>
    <row r="53" customFormat="false" ht="18" hidden="false" customHeight="true" outlineLevel="0" collapsed="false">
      <c r="B53" s="34" t="n">
        <v>48</v>
      </c>
      <c r="C53" s="35" t="n">
        <v>46173</v>
      </c>
      <c r="D53" s="34" t="s">
        <v>94</v>
      </c>
      <c r="E53" s="34" t="s">
        <v>47</v>
      </c>
      <c r="F53" s="14" t="s">
        <v>101</v>
      </c>
      <c r="G53" s="34" t="s">
        <v>35</v>
      </c>
      <c r="H53" s="34" t="s">
        <v>13</v>
      </c>
      <c r="I53" s="36" t="n">
        <v>20</v>
      </c>
      <c r="J53" s="37" t="n">
        <v>1</v>
      </c>
      <c r="K53" s="38" t="n">
        <v>20</v>
      </c>
      <c r="L53" s="38"/>
      <c r="M53" s="16" t="n">
        <f aca="false">IF(K53="","",K53*Totales!$C$8)</f>
        <v>29600</v>
      </c>
      <c r="N53" s="40" t="s">
        <v>66</v>
      </c>
    </row>
    <row r="54" customFormat="false" ht="18" hidden="false" customHeight="true" outlineLevel="0" collapsed="false">
      <c r="B54" s="28" t="n">
        <v>49</v>
      </c>
      <c r="C54" s="29" t="n">
        <v>46174</v>
      </c>
      <c r="D54" s="28" t="s">
        <v>102</v>
      </c>
      <c r="E54" s="28" t="s">
        <v>47</v>
      </c>
      <c r="F54" s="5" t="s">
        <v>103</v>
      </c>
      <c r="G54" s="28" t="s">
        <v>36</v>
      </c>
      <c r="H54" s="28" t="s">
        <v>13</v>
      </c>
      <c r="I54" s="30" t="n">
        <v>6</v>
      </c>
      <c r="J54" s="31" t="n">
        <v>1</v>
      </c>
      <c r="K54" s="32" t="n">
        <v>6</v>
      </c>
      <c r="L54" s="32"/>
      <c r="M54" s="10" t="n">
        <f aca="false">IF(K54="","",K54*Totales!$C$8)</f>
        <v>8880</v>
      </c>
      <c r="N54" s="7" t="s">
        <v>66</v>
      </c>
    </row>
    <row r="55" customFormat="false" ht="18" hidden="false" customHeight="true" outlineLevel="0" collapsed="false">
      <c r="B55" s="34" t="n">
        <v>50</v>
      </c>
      <c r="C55" s="35" t="n">
        <v>46175</v>
      </c>
      <c r="D55" s="34" t="s">
        <v>102</v>
      </c>
      <c r="E55" s="34" t="s">
        <v>47</v>
      </c>
      <c r="F55" s="14" t="s">
        <v>104</v>
      </c>
      <c r="G55" s="34" t="s">
        <v>39</v>
      </c>
      <c r="H55" s="34" t="s">
        <v>14</v>
      </c>
      <c r="I55" s="36" t="n">
        <v>34500</v>
      </c>
      <c r="J55" s="37" t="n">
        <v>1450</v>
      </c>
      <c r="K55" s="38" t="n">
        <v>23.79310345</v>
      </c>
      <c r="L55" s="38" t="n">
        <v>34500</v>
      </c>
      <c r="M55" s="16" t="n">
        <f aca="false">IF(K55="","",K55*Totales!$C$8)</f>
        <v>35213.793106</v>
      </c>
      <c r="N55" s="40" t="s">
        <v>66</v>
      </c>
    </row>
    <row r="56" customFormat="false" ht="18" hidden="false" customHeight="true" outlineLevel="0" collapsed="false">
      <c r="B56" s="28" t="n">
        <v>51</v>
      </c>
      <c r="C56" s="29" t="n">
        <v>46177</v>
      </c>
      <c r="D56" s="28" t="s">
        <v>102</v>
      </c>
      <c r="E56" s="28" t="s">
        <v>47</v>
      </c>
      <c r="F56" s="5" t="s">
        <v>73</v>
      </c>
      <c r="G56" s="28" t="s">
        <v>36</v>
      </c>
      <c r="H56" s="28" t="s">
        <v>13</v>
      </c>
      <c r="I56" s="30" t="n">
        <v>5</v>
      </c>
      <c r="J56" s="31" t="n">
        <v>1</v>
      </c>
      <c r="K56" s="32" t="n">
        <v>5</v>
      </c>
      <c r="L56" s="32"/>
      <c r="M56" s="10" t="n">
        <f aca="false">IF(K56="","",K56*Totales!$C$8)</f>
        <v>7400</v>
      </c>
      <c r="N56" s="7" t="s">
        <v>66</v>
      </c>
    </row>
    <row r="57" customFormat="false" ht="18" hidden="false" customHeight="true" outlineLevel="0" collapsed="false">
      <c r="B57" s="34" t="n">
        <v>52</v>
      </c>
      <c r="C57" s="35" t="n">
        <v>46182</v>
      </c>
      <c r="D57" s="34" t="s">
        <v>102</v>
      </c>
      <c r="E57" s="34" t="s">
        <v>47</v>
      </c>
      <c r="F57" s="14" t="s">
        <v>105</v>
      </c>
      <c r="G57" s="34" t="s">
        <v>35</v>
      </c>
      <c r="H57" s="34" t="s">
        <v>13</v>
      </c>
      <c r="I57" s="36" t="n">
        <v>10.08</v>
      </c>
      <c r="J57" s="37" t="n">
        <v>1</v>
      </c>
      <c r="K57" s="38" t="n">
        <v>10.08</v>
      </c>
      <c r="L57" s="38"/>
      <c r="M57" s="16" t="n">
        <f aca="false">IF(K57="","",K57*Totales!$C$8)</f>
        <v>14918.4</v>
      </c>
      <c r="N57" s="40" t="s">
        <v>66</v>
      </c>
    </row>
    <row r="58" customFormat="false" ht="18" hidden="false" customHeight="true" outlineLevel="0" collapsed="false">
      <c r="B58" s="28" t="n">
        <v>53</v>
      </c>
      <c r="C58" s="29" t="n">
        <v>46183</v>
      </c>
      <c r="D58" s="28" t="s">
        <v>102</v>
      </c>
      <c r="E58" s="28" t="s">
        <v>47</v>
      </c>
      <c r="F58" s="5" t="s">
        <v>106</v>
      </c>
      <c r="G58" s="28" t="s">
        <v>37</v>
      </c>
      <c r="H58" s="28" t="s">
        <v>14</v>
      </c>
      <c r="I58" s="30" t="n">
        <v>5088</v>
      </c>
      <c r="J58" s="31" t="n">
        <v>1450</v>
      </c>
      <c r="K58" s="32" t="n">
        <v>3.508965517</v>
      </c>
      <c r="L58" s="32" t="n">
        <v>5088</v>
      </c>
      <c r="M58" s="10" t="n">
        <f aca="false">IF(K58="","",K58*Totales!$C$8)</f>
        <v>5193.26896516</v>
      </c>
      <c r="N58" s="7" t="s">
        <v>66</v>
      </c>
    </row>
    <row r="59" customFormat="false" ht="18" hidden="false" customHeight="true" outlineLevel="0" collapsed="false">
      <c r="B59" s="34" t="n">
        <v>54</v>
      </c>
      <c r="C59" s="35" t="n">
        <v>46184</v>
      </c>
      <c r="D59" s="34" t="s">
        <v>102</v>
      </c>
      <c r="E59" s="34" t="s">
        <v>47</v>
      </c>
      <c r="F59" s="14" t="s">
        <v>107</v>
      </c>
      <c r="G59" s="34" t="s">
        <v>38</v>
      </c>
      <c r="H59" s="34" t="s">
        <v>14</v>
      </c>
      <c r="I59" s="36" t="n">
        <v>22500</v>
      </c>
      <c r="J59" s="37" t="n">
        <v>1450</v>
      </c>
      <c r="K59" s="38" t="n">
        <v>15.51724138</v>
      </c>
      <c r="L59" s="38" t="n">
        <v>22500</v>
      </c>
      <c r="M59" s="16" t="n">
        <f aca="false">IF(K59="","",K59*Totales!$C$8)</f>
        <v>22965.5172424</v>
      </c>
      <c r="N59" s="40" t="s">
        <v>66</v>
      </c>
    </row>
    <row r="60" customFormat="false" ht="18" hidden="false" customHeight="true" outlineLevel="0" collapsed="false">
      <c r="B60" s="28" t="n">
        <v>55</v>
      </c>
      <c r="C60" s="29" t="n">
        <v>46184</v>
      </c>
      <c r="D60" s="28" t="s">
        <v>102</v>
      </c>
      <c r="E60" s="28" t="s">
        <v>47</v>
      </c>
      <c r="F60" s="5" t="s">
        <v>108</v>
      </c>
      <c r="G60" s="28" t="s">
        <v>37</v>
      </c>
      <c r="H60" s="28" t="s">
        <v>14</v>
      </c>
      <c r="I60" s="30" t="n">
        <v>4817</v>
      </c>
      <c r="J60" s="31" t="n">
        <v>1450</v>
      </c>
      <c r="K60" s="32" t="n">
        <v>3.322068966</v>
      </c>
      <c r="L60" s="32" t="n">
        <v>4817</v>
      </c>
      <c r="M60" s="10" t="n">
        <f aca="false">IF(K60="","",K60*Totales!$C$8)</f>
        <v>4916.66206968</v>
      </c>
      <c r="N60" s="7" t="s">
        <v>66</v>
      </c>
    </row>
    <row r="61" customFormat="false" ht="18" hidden="false" customHeight="true" outlineLevel="0" collapsed="false">
      <c r="B61" s="34" t="n">
        <v>56</v>
      </c>
      <c r="C61" s="35" t="n">
        <v>46186</v>
      </c>
      <c r="D61" s="34" t="s">
        <v>102</v>
      </c>
      <c r="E61" s="34" t="s">
        <v>48</v>
      </c>
      <c r="F61" s="14" t="s">
        <v>109</v>
      </c>
      <c r="G61" s="34" t="s">
        <v>36</v>
      </c>
      <c r="H61" s="34" t="s">
        <v>13</v>
      </c>
      <c r="I61" s="36" t="n">
        <v>20</v>
      </c>
      <c r="J61" s="37" t="n">
        <v>1</v>
      </c>
      <c r="K61" s="38" t="n">
        <v>20</v>
      </c>
      <c r="L61" s="38"/>
      <c r="M61" s="16" t="n">
        <f aca="false">IF(K61="","",K61*Totales!$C$8)</f>
        <v>29600</v>
      </c>
      <c r="N61" s="40" t="s">
        <v>66</v>
      </c>
    </row>
    <row r="62" customFormat="false" ht="18" hidden="false" customHeight="true" outlineLevel="0" collapsed="false">
      <c r="B62" s="28" t="n">
        <v>57</v>
      </c>
      <c r="C62" s="29" t="n">
        <v>46191</v>
      </c>
      <c r="D62" s="28" t="s">
        <v>102</v>
      </c>
      <c r="E62" s="28" t="s">
        <v>47</v>
      </c>
      <c r="F62" s="5" t="s">
        <v>98</v>
      </c>
      <c r="G62" s="28" t="s">
        <v>37</v>
      </c>
      <c r="H62" s="28" t="s">
        <v>14</v>
      </c>
      <c r="I62" s="30" t="n">
        <v>23626</v>
      </c>
      <c r="J62" s="31" t="n">
        <v>1450</v>
      </c>
      <c r="K62" s="32" t="n">
        <v>16.2937931</v>
      </c>
      <c r="L62" s="32" t="n">
        <v>23626</v>
      </c>
      <c r="M62" s="10" t="n">
        <f aca="false">IF(K62="","",K62*Totales!$C$8)</f>
        <v>24114.813788</v>
      </c>
      <c r="N62" s="7" t="s">
        <v>66</v>
      </c>
    </row>
    <row r="63" customFormat="false" ht="18" hidden="false" customHeight="true" outlineLevel="0" collapsed="false">
      <c r="B63" s="34" t="n">
        <v>58</v>
      </c>
      <c r="C63" s="35" t="n">
        <v>46191</v>
      </c>
      <c r="D63" s="34" t="s">
        <v>102</v>
      </c>
      <c r="E63" s="34" t="s">
        <v>47</v>
      </c>
      <c r="F63" s="14" t="s">
        <v>98</v>
      </c>
      <c r="G63" s="34" t="s">
        <v>37</v>
      </c>
      <c r="H63" s="34" t="s">
        <v>14</v>
      </c>
      <c r="I63" s="36" t="n">
        <v>22305</v>
      </c>
      <c r="J63" s="37" t="n">
        <v>1450</v>
      </c>
      <c r="K63" s="38" t="n">
        <v>15.38275862</v>
      </c>
      <c r="L63" s="38" t="n">
        <v>22305</v>
      </c>
      <c r="M63" s="16" t="n">
        <f aca="false">IF(K63="","",K63*Totales!$C$8)</f>
        <v>22766.4827576</v>
      </c>
      <c r="N63" s="40" t="s">
        <v>66</v>
      </c>
    </row>
    <row r="64" customFormat="false" ht="18" hidden="false" customHeight="true" outlineLevel="0" collapsed="false">
      <c r="B64" s="28" t="n">
        <v>59</v>
      </c>
      <c r="C64" s="29" t="n">
        <v>46196</v>
      </c>
      <c r="D64" s="28" t="s">
        <v>102</v>
      </c>
      <c r="E64" s="28" t="s">
        <v>47</v>
      </c>
      <c r="F64" s="5" t="s">
        <v>110</v>
      </c>
      <c r="G64" s="28" t="s">
        <v>37</v>
      </c>
      <c r="H64" s="28" t="s">
        <v>14</v>
      </c>
      <c r="I64" s="30" t="n">
        <v>11270</v>
      </c>
      <c r="J64" s="31" t="n">
        <v>1450</v>
      </c>
      <c r="K64" s="32" t="n">
        <v>7.772413793</v>
      </c>
      <c r="L64" s="32" t="n">
        <v>11270</v>
      </c>
      <c r="M64" s="10" t="n">
        <f aca="false">IF(K64="","",K64*Totales!$C$8)</f>
        <v>11503.17241364</v>
      </c>
      <c r="N64" s="7" t="s">
        <v>66</v>
      </c>
    </row>
    <row r="65" customFormat="false" ht="18" hidden="false" customHeight="true" outlineLevel="0" collapsed="false">
      <c r="B65" s="34" t="n">
        <v>60</v>
      </c>
      <c r="C65" s="35" t="n">
        <v>46203</v>
      </c>
      <c r="D65" s="34" t="s">
        <v>102</v>
      </c>
      <c r="E65" s="34" t="s">
        <v>48</v>
      </c>
      <c r="F65" s="14" t="s">
        <v>101</v>
      </c>
      <c r="G65" s="34" t="s">
        <v>35</v>
      </c>
      <c r="H65" s="34" t="s">
        <v>13</v>
      </c>
      <c r="I65" s="36" t="n">
        <v>20</v>
      </c>
      <c r="J65" s="37" t="n">
        <v>1</v>
      </c>
      <c r="K65" s="38" t="n">
        <v>20</v>
      </c>
      <c r="L65" s="38"/>
      <c r="M65" s="16" t="n">
        <f aca="false">IF(K65="","",K65*Totales!$C$8)</f>
        <v>29600</v>
      </c>
      <c r="N65" s="40" t="s">
        <v>66</v>
      </c>
    </row>
    <row r="66" customFormat="false" ht="18" hidden="false" customHeight="true" outlineLevel="0" collapsed="false">
      <c r="B66" s="28" t="n">
        <v>61</v>
      </c>
      <c r="C66" s="29" t="n">
        <v>46210</v>
      </c>
      <c r="D66" s="28" t="s">
        <v>111</v>
      </c>
      <c r="E66" s="28" t="s">
        <v>48</v>
      </c>
      <c r="F66" s="5" t="s">
        <v>112</v>
      </c>
      <c r="G66" s="28" t="s">
        <v>37</v>
      </c>
      <c r="H66" s="28" t="s">
        <v>14</v>
      </c>
      <c r="I66" s="30" t="n">
        <v>17553</v>
      </c>
      <c r="J66" s="31" t="n">
        <v>1515</v>
      </c>
      <c r="K66" s="32" t="n">
        <v>11.58613861</v>
      </c>
      <c r="L66" s="32" t="n">
        <v>17553</v>
      </c>
      <c r="M66" s="10" t="n">
        <f aca="false">IF(K66="","",K66*Totales!$C$8)</f>
        <v>17147.4851428</v>
      </c>
      <c r="N66" s="7" t="s">
        <v>66</v>
      </c>
    </row>
    <row r="67" customFormat="false" ht="18" hidden="false" customHeight="true" outlineLevel="0" collapsed="false">
      <c r="B67" s="34" t="n">
        <v>62</v>
      </c>
      <c r="C67" s="35" t="n">
        <v>46216</v>
      </c>
      <c r="D67" s="34" t="s">
        <v>111</v>
      </c>
      <c r="E67" s="34" t="s">
        <v>48</v>
      </c>
      <c r="F67" s="14" t="s">
        <v>112</v>
      </c>
      <c r="G67" s="34" t="s">
        <v>37</v>
      </c>
      <c r="H67" s="34" t="s">
        <v>14</v>
      </c>
      <c r="I67" s="36" t="n">
        <v>5979</v>
      </c>
      <c r="J67" s="37" t="n">
        <v>1515</v>
      </c>
      <c r="K67" s="38" t="n">
        <v>3.946534653</v>
      </c>
      <c r="L67" s="38" t="n">
        <v>5979</v>
      </c>
      <c r="M67" s="16" t="n">
        <f aca="false">IF(K67="","",K67*Totales!$C$8)</f>
        <v>5840.87128644</v>
      </c>
      <c r="N67" s="40" t="s">
        <v>66</v>
      </c>
    </row>
    <row r="68" customFormat="false" ht="18" hidden="false" customHeight="true" outlineLevel="0" collapsed="false">
      <c r="B68" s="28" t="n">
        <v>63</v>
      </c>
      <c r="C68" s="29" t="n">
        <v>46217</v>
      </c>
      <c r="D68" s="28" t="s">
        <v>111</v>
      </c>
      <c r="E68" s="28" t="s">
        <v>48</v>
      </c>
      <c r="F68" s="5" t="s">
        <v>113</v>
      </c>
      <c r="G68" s="28" t="s">
        <v>37</v>
      </c>
      <c r="H68" s="28" t="s">
        <v>14</v>
      </c>
      <c r="I68" s="30" t="n">
        <v>10695</v>
      </c>
      <c r="J68" s="31" t="n">
        <v>1515</v>
      </c>
      <c r="K68" s="32" t="n">
        <v>7.059405941</v>
      </c>
      <c r="L68" s="32" t="n">
        <v>10695</v>
      </c>
      <c r="M68" s="10" t="n">
        <f aca="false">IF(K68="","",K68*Totales!$C$8)</f>
        <v>10447.92079268</v>
      </c>
      <c r="N68" s="7" t="s">
        <v>66</v>
      </c>
    </row>
    <row r="69" customFormat="false" ht="18" hidden="false" customHeight="true" outlineLevel="0" collapsed="false">
      <c r="B69" s="34" t="n">
        <v>64</v>
      </c>
      <c r="C69" s="35" t="n">
        <v>46218</v>
      </c>
      <c r="D69" s="34" t="s">
        <v>111</v>
      </c>
      <c r="E69" s="34" t="s">
        <v>48</v>
      </c>
      <c r="F69" s="14" t="s">
        <v>114</v>
      </c>
      <c r="G69" s="34" t="s">
        <v>37</v>
      </c>
      <c r="H69" s="34" t="s">
        <v>14</v>
      </c>
      <c r="I69" s="36" t="n">
        <v>12157</v>
      </c>
      <c r="J69" s="37" t="n">
        <v>1515</v>
      </c>
      <c r="K69" s="38" t="n">
        <v>8.024422442</v>
      </c>
      <c r="L69" s="38" t="n">
        <v>12157</v>
      </c>
      <c r="M69" s="16" t="n">
        <f aca="false">IF(K69="","",K69*Totales!$C$8)</f>
        <v>11876.14521416</v>
      </c>
      <c r="N69" s="40" t="s">
        <v>66</v>
      </c>
    </row>
    <row r="70" customFormat="false" ht="18" hidden="false" customHeight="true" outlineLevel="0" collapsed="false">
      <c r="B70" s="28" t="n">
        <v>65</v>
      </c>
      <c r="C70" s="29" t="n">
        <v>46225</v>
      </c>
      <c r="D70" s="28" t="s">
        <v>111</v>
      </c>
      <c r="E70" s="28" t="s">
        <v>48</v>
      </c>
      <c r="F70" s="5" t="s">
        <v>115</v>
      </c>
      <c r="G70" s="28" t="s">
        <v>37</v>
      </c>
      <c r="H70" s="28" t="s">
        <v>14</v>
      </c>
      <c r="I70" s="30" t="n">
        <v>5988</v>
      </c>
      <c r="J70" s="31" t="n">
        <v>1515</v>
      </c>
      <c r="K70" s="32" t="n">
        <v>3.952475248</v>
      </c>
      <c r="L70" s="32" t="n">
        <v>5988</v>
      </c>
      <c r="M70" s="10" t="n">
        <f aca="false">IF(K70="","",K70*Totales!$C$8)</f>
        <v>5849.66336704</v>
      </c>
      <c r="N70" s="7" t="s">
        <v>66</v>
      </c>
    </row>
    <row r="71" customFormat="false" ht="18" hidden="false" customHeight="true" outlineLevel="0" collapsed="false">
      <c r="B71" s="34" t="n">
        <v>66</v>
      </c>
      <c r="C71" s="35" t="n">
        <v>46227</v>
      </c>
      <c r="D71" s="34" t="s">
        <v>111</v>
      </c>
      <c r="E71" s="34" t="s">
        <v>48</v>
      </c>
      <c r="F71" s="14" t="s">
        <v>112</v>
      </c>
      <c r="G71" s="34" t="s">
        <v>37</v>
      </c>
      <c r="H71" s="34" t="s">
        <v>14</v>
      </c>
      <c r="I71" s="36" t="n">
        <v>6145</v>
      </c>
      <c r="J71" s="37" t="n">
        <v>1515</v>
      </c>
      <c r="K71" s="38" t="n">
        <v>4.056105611</v>
      </c>
      <c r="L71" s="38" t="n">
        <v>6145</v>
      </c>
      <c r="M71" s="16" t="n">
        <f aca="false">IF(K71="","",K71*Totales!$C$8)</f>
        <v>6003.03630428</v>
      </c>
      <c r="N71" s="40" t="s">
        <v>66</v>
      </c>
    </row>
    <row r="72" customFormat="false" ht="18" hidden="false" customHeight="true" outlineLevel="0" collapsed="false">
      <c r="B72" s="28" t="n">
        <v>67</v>
      </c>
      <c r="C72" s="41" t="n">
        <v>46362</v>
      </c>
      <c r="D72" s="42" t="s">
        <v>116</v>
      </c>
      <c r="E72" s="28" t="s">
        <v>48</v>
      </c>
      <c r="F72" s="5" t="s">
        <v>117</v>
      </c>
      <c r="G72" s="28" t="s">
        <v>35</v>
      </c>
      <c r="H72" s="28" t="s">
        <v>13</v>
      </c>
      <c r="I72" s="30" t="n">
        <v>9.9</v>
      </c>
      <c r="J72" s="31" t="n">
        <v>1</v>
      </c>
      <c r="K72" s="32" t="n">
        <v>9.9</v>
      </c>
      <c r="L72" s="32"/>
      <c r="M72" s="10" t="n">
        <f aca="false">IF(K72="","",K72*Totales!$C$8)</f>
        <v>14652</v>
      </c>
      <c r="N72" s="7" t="s">
        <v>66</v>
      </c>
    </row>
    <row r="73" customFormat="false" ht="18" hidden="false" customHeight="true" outlineLevel="0" collapsed="false">
      <c r="B73" s="34" t="n">
        <v>68</v>
      </c>
      <c r="C73" s="41" t="n">
        <v>46363</v>
      </c>
      <c r="D73" s="42" t="s">
        <v>116</v>
      </c>
      <c r="E73" s="34" t="s">
        <v>48</v>
      </c>
      <c r="F73" s="14" t="s">
        <v>117</v>
      </c>
      <c r="G73" s="34" t="s">
        <v>35</v>
      </c>
      <c r="H73" s="34" t="s">
        <v>13</v>
      </c>
      <c r="I73" s="36" t="n">
        <v>9.9</v>
      </c>
      <c r="J73" s="37" t="n">
        <v>1</v>
      </c>
      <c r="K73" s="38" t="n">
        <v>9.9</v>
      </c>
      <c r="L73" s="38"/>
      <c r="M73" s="16" t="n">
        <f aca="false">IF(K73="","",K73*Totales!$C$8)</f>
        <v>14652</v>
      </c>
      <c r="N73" s="40" t="s">
        <v>66</v>
      </c>
    </row>
    <row r="74" customFormat="false" ht="15" hidden="false" customHeight="false" outlineLevel="0" collapsed="false">
      <c r="B74" s="11" t="s">
        <v>118</v>
      </c>
      <c r="C74" s="11"/>
      <c r="D74" s="11"/>
      <c r="E74" s="11"/>
      <c r="F74" s="11"/>
      <c r="G74" s="11"/>
      <c r="H74" s="11"/>
      <c r="I74" s="11"/>
      <c r="J74" s="11"/>
      <c r="K74" s="43" t="n">
        <f aca="false">SUM(K6:K73)</f>
        <v>845.967522459</v>
      </c>
      <c r="L74" s="43" t="n">
        <f aca="false">SUM(L6:L73)</f>
        <v>395407</v>
      </c>
      <c r="M74" s="43" t="n">
        <f aca="false">SUM(M6:M73)</f>
        <v>1252031.93323932</v>
      </c>
      <c r="N74" s="11"/>
    </row>
  </sheetData>
  <mergeCells count="3">
    <mergeCell ref="B2:N2"/>
    <mergeCell ref="B3:N3"/>
    <mergeCell ref="B74:J74"/>
  </mergeCells>
  <hyperlinks>
    <hyperlink ref="N6" r:id="rId1" display="Abrir"/>
    <hyperlink ref="N7" r:id="rId2" display="Abrir"/>
    <hyperlink ref="N8" r:id="rId3" display="Abrir"/>
    <hyperlink ref="N10" r:id="rId4" display="Abrir"/>
    <hyperlink ref="N11" r:id="rId5" display="Abrir"/>
    <hyperlink ref="N12" r:id="rId6" display="Abrir"/>
    <hyperlink ref="N13" r:id="rId7" display="Abrir"/>
    <hyperlink ref="N14" r:id="rId8" display="Abrir"/>
    <hyperlink ref="N15" r:id="rId9" display="Abrir"/>
    <hyperlink ref="N16" r:id="rId10" display="Abrir"/>
    <hyperlink ref="N17" r:id="rId11" display="Abrir"/>
    <hyperlink ref="N18" r:id="rId12" display="Abrir"/>
    <hyperlink ref="N19" r:id="rId13" display="Abrir"/>
    <hyperlink ref="N20" r:id="rId14" display="Abrir"/>
    <hyperlink ref="N21" r:id="rId15" display="Abrir"/>
    <hyperlink ref="N22" r:id="rId16" display="Abrir"/>
    <hyperlink ref="N23" r:id="rId17" display="Abrir"/>
    <hyperlink ref="N24" r:id="rId18" display="Abrir"/>
    <hyperlink ref="N25" r:id="rId19" display="Abrir"/>
    <hyperlink ref="N26" r:id="rId20" display="Abrir"/>
    <hyperlink ref="N27" r:id="rId21" display="Abrir"/>
    <hyperlink ref="N28" r:id="rId22" display="Abrir"/>
    <hyperlink ref="N29" r:id="rId23" display="Abrir"/>
    <hyperlink ref="N30" r:id="rId24" display="Abrir"/>
    <hyperlink ref="N31" r:id="rId25" display="Abrir"/>
    <hyperlink ref="N32" r:id="rId26" display="Abrir"/>
    <hyperlink ref="N33" r:id="rId27" display="Abrir"/>
    <hyperlink ref="N35" r:id="rId28" display="Abrir"/>
    <hyperlink ref="N36" r:id="rId29" display="Abrir"/>
    <hyperlink ref="N37" r:id="rId30" display="Abrir"/>
    <hyperlink ref="N38" r:id="rId31" display="Abrir"/>
    <hyperlink ref="N39" r:id="rId32" display="Abrir"/>
    <hyperlink ref="N40" r:id="rId33" display="Abrir"/>
    <hyperlink ref="N41" r:id="rId34" display="Abrir"/>
    <hyperlink ref="N42" r:id="rId35" display="Abrir"/>
    <hyperlink ref="N43" r:id="rId36" display="Abrir"/>
    <hyperlink ref="N44" r:id="rId37" display="Abrir"/>
    <hyperlink ref="N45" r:id="rId38" display="Abrir"/>
    <hyperlink ref="N46" r:id="rId39" display="Abrir"/>
    <hyperlink ref="N47" r:id="rId40" display="Abrir"/>
    <hyperlink ref="N48" r:id="rId41" display="Abrir"/>
    <hyperlink ref="N51" r:id="rId42" display="Ab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4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44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54"/>
    <col collapsed="false" customWidth="true" hidden="false" outlineLevel="0" max="10" min="10" style="0" width="14"/>
  </cols>
  <sheetData>
    <row r="2" customFormat="false" ht="19.7" hidden="false" customHeight="false" outlineLevel="0" collapsed="false">
      <c r="B2" s="1" t="s">
        <v>119</v>
      </c>
      <c r="C2" s="1"/>
      <c r="D2" s="1"/>
      <c r="E2" s="1"/>
      <c r="F2" s="1"/>
      <c r="G2" s="1"/>
      <c r="H2" s="1"/>
      <c r="I2" s="1"/>
      <c r="J2" s="1"/>
      <c r="K2" s="1"/>
    </row>
    <row r="3" customFormat="false" ht="15" hidden="false" customHeight="false" outlineLevel="0" collapsed="false">
      <c r="B3" s="2" t="s">
        <v>120</v>
      </c>
      <c r="C3" s="2"/>
      <c r="D3" s="2"/>
      <c r="E3" s="2"/>
      <c r="F3" s="2"/>
      <c r="G3" s="2"/>
      <c r="H3" s="2"/>
      <c r="I3" s="2"/>
      <c r="J3" s="2"/>
      <c r="K3" s="2"/>
    </row>
    <row r="5" customFormat="false" ht="15" hidden="false" customHeight="false" outlineLevel="0" collapsed="false">
      <c r="B5" s="4" t="s">
        <v>52</v>
      </c>
      <c r="C5" s="4" t="s">
        <v>53</v>
      </c>
      <c r="D5" s="4" t="s">
        <v>43</v>
      </c>
      <c r="E5" s="4" t="s">
        <v>54</v>
      </c>
      <c r="F5" s="4" t="s">
        <v>121</v>
      </c>
      <c r="G5" s="4" t="s">
        <v>56</v>
      </c>
      <c r="H5" s="4" t="s">
        <v>13</v>
      </c>
      <c r="I5" s="4" t="s">
        <v>122</v>
      </c>
      <c r="J5" s="4" t="s">
        <v>59</v>
      </c>
    </row>
    <row r="6" customFormat="false" ht="27.75" hidden="false" customHeight="true" outlineLevel="0" collapsed="false">
      <c r="B6" s="28" t="n">
        <v>1</v>
      </c>
      <c r="C6" s="29" t="n">
        <v>46053</v>
      </c>
      <c r="D6" s="28" t="s">
        <v>44</v>
      </c>
      <c r="E6" s="5" t="s">
        <v>70</v>
      </c>
      <c r="F6" s="28" t="s">
        <v>13</v>
      </c>
      <c r="G6" s="30" t="n">
        <v>20</v>
      </c>
      <c r="H6" s="32" t="n">
        <v>20</v>
      </c>
      <c r="I6" s="5" t="s">
        <v>123</v>
      </c>
      <c r="J6" s="44" t="s">
        <v>62</v>
      </c>
    </row>
    <row r="7" customFormat="false" ht="27.75" hidden="false" customHeight="true" outlineLevel="0" collapsed="false">
      <c r="B7" s="34" t="n">
        <v>2</v>
      </c>
      <c r="C7" s="35" t="n">
        <v>46082</v>
      </c>
      <c r="D7" s="34" t="s">
        <v>45</v>
      </c>
      <c r="E7" s="14" t="s">
        <v>63</v>
      </c>
      <c r="F7" s="34" t="s">
        <v>13</v>
      </c>
      <c r="G7" s="36" t="n">
        <v>6</v>
      </c>
      <c r="H7" s="38" t="n">
        <v>6</v>
      </c>
      <c r="I7" s="14" t="s">
        <v>124</v>
      </c>
      <c r="J7" s="45" t="s">
        <v>62</v>
      </c>
    </row>
    <row r="8" customFormat="false" ht="27.75" hidden="false" customHeight="true" outlineLevel="0" collapsed="false">
      <c r="B8" s="28" t="n">
        <v>3</v>
      </c>
      <c r="C8" s="29" t="n">
        <v>46125</v>
      </c>
      <c r="D8" s="28" t="s">
        <v>125</v>
      </c>
      <c r="E8" s="5" t="s">
        <v>86</v>
      </c>
      <c r="F8" s="28" t="s">
        <v>14</v>
      </c>
      <c r="G8" s="30" t="n">
        <v>21880</v>
      </c>
      <c r="H8" s="32"/>
      <c r="I8" s="5" t="s">
        <v>126</v>
      </c>
      <c r="J8" s="44" t="s">
        <v>62</v>
      </c>
    </row>
    <row r="9" customFormat="false" ht="27.75" hidden="false" customHeight="true" outlineLevel="0" collapsed="false">
      <c r="B9" s="34" t="n">
        <v>4</v>
      </c>
      <c r="C9" s="35" t="n">
        <v>46135</v>
      </c>
      <c r="D9" s="34" t="s">
        <v>127</v>
      </c>
      <c r="E9" s="14" t="s">
        <v>93</v>
      </c>
      <c r="F9" s="34" t="s">
        <v>14</v>
      </c>
      <c r="G9" s="36" t="n">
        <v>18766</v>
      </c>
      <c r="H9" s="38" t="n">
        <v>12.38679868</v>
      </c>
      <c r="I9" s="14" t="s">
        <v>128</v>
      </c>
      <c r="J9" s="45" t="s">
        <v>62</v>
      </c>
    </row>
    <row r="10" customFormat="false" ht="27.75" hidden="false" customHeight="true" outlineLevel="0" collapsed="false">
      <c r="B10" s="28" t="n">
        <v>5</v>
      </c>
      <c r="C10" s="29" t="n">
        <v>46134</v>
      </c>
      <c r="D10" s="28" t="s">
        <v>127</v>
      </c>
      <c r="E10" s="5" t="s">
        <v>129</v>
      </c>
      <c r="F10" s="28" t="s">
        <v>14</v>
      </c>
      <c r="G10" s="30" t="n">
        <v>31918</v>
      </c>
      <c r="H10" s="32" t="n">
        <v>21.0679868</v>
      </c>
      <c r="I10" s="5" t="s">
        <v>128</v>
      </c>
      <c r="J10" s="44" t="s">
        <v>62</v>
      </c>
    </row>
    <row r="11" customFormat="false" ht="27.75" hidden="false" customHeight="true" outlineLevel="0" collapsed="false">
      <c r="B11" s="34" t="n">
        <v>6</v>
      </c>
      <c r="C11" s="35" t="n">
        <v>46127</v>
      </c>
      <c r="D11" s="34" t="s">
        <v>127</v>
      </c>
      <c r="E11" s="14" t="s">
        <v>130</v>
      </c>
      <c r="F11" s="34" t="s">
        <v>14</v>
      </c>
      <c r="G11" s="36" t="n">
        <v>2350</v>
      </c>
      <c r="H11" s="38" t="n">
        <v>1.551155116</v>
      </c>
      <c r="I11" s="14" t="s">
        <v>128</v>
      </c>
      <c r="J11" s="45" t="s">
        <v>62</v>
      </c>
    </row>
    <row r="12" customFormat="false" ht="27.75" hidden="false" customHeight="true" outlineLevel="0" collapsed="false">
      <c r="B12" s="28" t="n">
        <v>7</v>
      </c>
      <c r="C12" s="29" t="n">
        <v>46146</v>
      </c>
      <c r="D12" s="28" t="s">
        <v>127</v>
      </c>
      <c r="E12" s="5" t="s">
        <v>95</v>
      </c>
      <c r="F12" s="28" t="s">
        <v>13</v>
      </c>
      <c r="G12" s="30" t="n">
        <v>5</v>
      </c>
      <c r="H12" s="32" t="n">
        <v>5</v>
      </c>
      <c r="I12" s="5" t="s">
        <v>128</v>
      </c>
      <c r="J12" s="44" t="s">
        <v>62</v>
      </c>
    </row>
    <row r="13" customFormat="false" ht="27.75" hidden="false" customHeight="true" outlineLevel="0" collapsed="false">
      <c r="B13" s="34" t="n">
        <v>8</v>
      </c>
      <c r="C13" s="35" t="n">
        <v>46113</v>
      </c>
      <c r="D13" s="34" t="s">
        <v>127</v>
      </c>
      <c r="E13" s="14" t="s">
        <v>84</v>
      </c>
      <c r="F13" s="34" t="s">
        <v>13</v>
      </c>
      <c r="G13" s="36" t="n">
        <v>6</v>
      </c>
      <c r="H13" s="38" t="n">
        <v>6</v>
      </c>
      <c r="I13" s="14" t="s">
        <v>128</v>
      </c>
      <c r="J13" s="45" t="s">
        <v>62</v>
      </c>
    </row>
    <row r="14" customFormat="false" ht="27.75" hidden="false" customHeight="true" outlineLevel="0" collapsed="false">
      <c r="B14" s="28" t="n">
        <v>9</v>
      </c>
      <c r="C14" s="29" t="n">
        <v>46143</v>
      </c>
      <c r="D14" s="28" t="s">
        <v>127</v>
      </c>
      <c r="E14" s="5" t="s">
        <v>84</v>
      </c>
      <c r="F14" s="28" t="s">
        <v>13</v>
      </c>
      <c r="G14" s="30" t="n">
        <v>6</v>
      </c>
      <c r="H14" s="32" t="n">
        <v>6</v>
      </c>
      <c r="I14" s="5" t="s">
        <v>128</v>
      </c>
      <c r="J14" s="44" t="s">
        <v>62</v>
      </c>
    </row>
    <row r="15" customFormat="false" ht="27.75" hidden="false" customHeight="true" outlineLevel="0" collapsed="false">
      <c r="B15" s="34" t="n">
        <v>10</v>
      </c>
      <c r="C15" s="35" t="n">
        <v>46142</v>
      </c>
      <c r="D15" s="34" t="s">
        <v>127</v>
      </c>
      <c r="E15" s="14" t="s">
        <v>70</v>
      </c>
      <c r="F15" s="34" t="s">
        <v>13</v>
      </c>
      <c r="G15" s="36" t="n">
        <v>20</v>
      </c>
      <c r="H15" s="38" t="n">
        <v>20</v>
      </c>
      <c r="I15" s="14" t="s">
        <v>128</v>
      </c>
      <c r="J15" s="45" t="s">
        <v>62</v>
      </c>
    </row>
    <row r="16" customFormat="false" ht="27.75" hidden="false" customHeight="true" outlineLevel="0" collapsed="false">
      <c r="B16" s="28" t="n">
        <v>11</v>
      </c>
      <c r="C16" s="29" t="n">
        <v>46146</v>
      </c>
      <c r="D16" s="28" t="s">
        <v>127</v>
      </c>
      <c r="E16" s="5" t="s">
        <v>87</v>
      </c>
      <c r="F16" s="28" t="s">
        <v>14</v>
      </c>
      <c r="G16" s="30" t="n">
        <v>4081</v>
      </c>
      <c r="H16" s="32" t="n">
        <v>2.693729373</v>
      </c>
      <c r="I16" s="5" t="s">
        <v>128</v>
      </c>
      <c r="J16" s="44" t="s">
        <v>62</v>
      </c>
    </row>
    <row r="17" customFormat="false" ht="27.75" hidden="false" customHeight="true" outlineLevel="0" collapsed="false">
      <c r="B17" s="34" t="n">
        <v>12</v>
      </c>
      <c r="C17" s="35" t="n">
        <v>46151</v>
      </c>
      <c r="D17" s="34" t="s">
        <v>127</v>
      </c>
      <c r="E17" s="14" t="s">
        <v>96</v>
      </c>
      <c r="F17" s="34" t="s">
        <v>14</v>
      </c>
      <c r="G17" s="36" t="n">
        <v>19426</v>
      </c>
      <c r="H17" s="38" t="n">
        <v>12.82244224</v>
      </c>
      <c r="I17" s="14" t="s">
        <v>128</v>
      </c>
      <c r="J17" s="45" t="s">
        <v>62</v>
      </c>
    </row>
    <row r="18" customFormat="false" ht="27.75" hidden="false" customHeight="true" outlineLevel="0" collapsed="false">
      <c r="B18" s="28" t="n">
        <v>13</v>
      </c>
      <c r="C18" s="29" t="n">
        <v>46163</v>
      </c>
      <c r="D18" s="28" t="s">
        <v>127</v>
      </c>
      <c r="E18" s="5" t="s">
        <v>99</v>
      </c>
      <c r="F18" s="28" t="s">
        <v>13</v>
      </c>
      <c r="G18" s="30" t="n">
        <v>20</v>
      </c>
      <c r="H18" s="32" t="n">
        <v>20</v>
      </c>
      <c r="I18" s="5" t="s">
        <v>128</v>
      </c>
      <c r="J18" s="44" t="s">
        <v>62</v>
      </c>
    </row>
    <row r="19" customFormat="false" ht="27.75" hidden="false" customHeight="true" outlineLevel="0" collapsed="false">
      <c r="B19" s="34" t="n">
        <v>14</v>
      </c>
      <c r="C19" s="35" t="n">
        <v>46155</v>
      </c>
      <c r="D19" s="34" t="s">
        <v>127</v>
      </c>
      <c r="E19" s="14" t="s">
        <v>97</v>
      </c>
      <c r="F19" s="34" t="s">
        <v>13</v>
      </c>
      <c r="G19" s="36" t="n">
        <v>20</v>
      </c>
      <c r="H19" s="38" t="n">
        <v>20</v>
      </c>
      <c r="I19" s="14" t="s">
        <v>128</v>
      </c>
      <c r="J19" s="45" t="s">
        <v>62</v>
      </c>
    </row>
    <row r="20" customFormat="false" ht="27.75" hidden="false" customHeight="true" outlineLevel="0" collapsed="false">
      <c r="B20" s="28" t="n">
        <v>15</v>
      </c>
      <c r="C20" s="29" t="n">
        <v>46186</v>
      </c>
      <c r="D20" s="28" t="s">
        <v>47</v>
      </c>
      <c r="E20" s="5" t="s">
        <v>109</v>
      </c>
      <c r="F20" s="28" t="s">
        <v>13</v>
      </c>
      <c r="G20" s="30" t="n">
        <v>20</v>
      </c>
      <c r="H20" s="32" t="n">
        <v>20</v>
      </c>
      <c r="I20" s="5" t="s">
        <v>131</v>
      </c>
      <c r="J20" s="28" t="s">
        <v>66</v>
      </c>
    </row>
    <row r="21" customFormat="false" ht="15" hidden="false" customHeight="false" outlineLevel="0" collapsed="false">
      <c r="B21" s="17" t="s">
        <v>132</v>
      </c>
      <c r="C21" s="17"/>
      <c r="D21" s="17"/>
      <c r="E21" s="17"/>
      <c r="F21" s="17"/>
      <c r="G21" s="17"/>
      <c r="H21" s="19" t="n">
        <f aca="false">SUM(H6:H20)</f>
        <v>173.522112209</v>
      </c>
      <c r="I21" s="17"/>
      <c r="J21" s="17"/>
    </row>
  </sheetData>
  <mergeCells count="3">
    <mergeCell ref="B2:K2"/>
    <mergeCell ref="B3:K3"/>
    <mergeCell ref="B21:G21"/>
  </mergeCells>
  <hyperlinks>
    <hyperlink ref="J6" r:id="rId1" display="Abrir"/>
    <hyperlink ref="J7" r:id="rId2" display="Abrir"/>
    <hyperlink ref="J8" r:id="rId3" display="Abrir"/>
    <hyperlink ref="J9" r:id="rId4" display="Abrir"/>
    <hyperlink ref="J10" r:id="rId5" display="Abrir"/>
    <hyperlink ref="J11" r:id="rId6" display="Abrir"/>
    <hyperlink ref="J12" r:id="rId7" display="Abrir"/>
    <hyperlink ref="J13" r:id="rId8" display="Abrir"/>
    <hyperlink ref="J14" r:id="rId9" display="Abrir"/>
    <hyperlink ref="J15" r:id="rId10" display="Abrir"/>
    <hyperlink ref="J16" r:id="rId11" display="Abrir"/>
    <hyperlink ref="J17" r:id="rId12" display="Abrir"/>
    <hyperlink ref="J18" r:id="rId13" display="Abrir"/>
    <hyperlink ref="J19" r:id="rId14" display="Abri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6" min="2" style="0" width="22"/>
  </cols>
  <sheetData>
    <row r="2" customFormat="false" ht="19.7" hidden="false" customHeight="false" outlineLevel="0" collapsed="false">
      <c r="B2" s="1" t="s">
        <v>133</v>
      </c>
      <c r="C2" s="1"/>
      <c r="D2" s="1"/>
      <c r="E2" s="1"/>
      <c r="F2" s="1"/>
    </row>
    <row r="5" customFormat="false" ht="15" hidden="false" customHeight="false" outlineLevel="0" collapsed="false">
      <c r="B5" s="46" t="s">
        <v>134</v>
      </c>
      <c r="C5" s="47" t="s">
        <v>135</v>
      </c>
      <c r="D5" s="47"/>
      <c r="E5" s="47"/>
      <c r="F5" s="47"/>
    </row>
    <row r="6" customFormat="false" ht="69.75" hidden="false" customHeight="true" outlineLevel="0" collapsed="false">
      <c r="B6" s="48" t="s">
        <v>136</v>
      </c>
      <c r="C6" s="49" t="s">
        <v>137</v>
      </c>
      <c r="D6" s="49"/>
      <c r="E6" s="49"/>
      <c r="F6" s="49"/>
    </row>
    <row r="7" customFormat="false" ht="69.75" hidden="false" customHeight="true" outlineLevel="0" collapsed="false">
      <c r="B7" s="50" t="s">
        <v>138</v>
      </c>
      <c r="C7" s="51" t="s">
        <v>139</v>
      </c>
      <c r="D7" s="51"/>
      <c r="E7" s="51"/>
      <c r="F7" s="51"/>
    </row>
    <row r="8" customFormat="false" ht="69.75" hidden="false" customHeight="true" outlineLevel="0" collapsed="false">
      <c r="B8" s="48" t="s">
        <v>140</v>
      </c>
      <c r="C8" s="49" t="s">
        <v>141</v>
      </c>
      <c r="D8" s="49"/>
      <c r="E8" s="49"/>
      <c r="F8" s="49"/>
    </row>
    <row r="9" customFormat="false" ht="69.75" hidden="false" customHeight="true" outlineLevel="0" collapsed="false">
      <c r="B9" s="50" t="s">
        <v>142</v>
      </c>
      <c r="C9" s="51" t="s">
        <v>143</v>
      </c>
      <c r="D9" s="51"/>
      <c r="E9" s="51"/>
      <c r="F9" s="51"/>
    </row>
    <row r="10" customFormat="false" ht="69.75" hidden="false" customHeight="true" outlineLevel="0" collapsed="false">
      <c r="B10" s="48" t="s">
        <v>144</v>
      </c>
      <c r="C10" s="49" t="s">
        <v>145</v>
      </c>
      <c r="D10" s="49"/>
      <c r="E10" s="49"/>
      <c r="F10" s="49"/>
    </row>
  </sheetData>
  <mergeCells count="7">
    <mergeCell ref="B2:F2"/>
    <mergeCell ref="C5:F5"/>
    <mergeCell ref="C6:F6"/>
    <mergeCell ref="C7:F7"/>
    <mergeCell ref="C8:F8"/>
    <mergeCell ref="C9:F9"/>
    <mergeCell ref="C10:F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2026-09-07T15:49:12Z</dcterms:created>
  <dc:creator>openpyxl</dc:creator>
  <dc:description/>
  <dc:language>en-US</dc:language>
  <cp:lastModifiedBy/>
  <dcterms:modified xsi:type="dcterms:W3CDTF">2026-09-07T15:49:20Z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